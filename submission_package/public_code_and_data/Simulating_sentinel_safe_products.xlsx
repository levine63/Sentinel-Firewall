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nputs" sheetId="2" state="visible" r:id="rId2"/>
    <sheet name="Formula_Guide" sheetId="3" state="visible" r:id="rId3"/>
    <sheet name="PV_Helper" sheetId="4" state="visible" r:id="rId4"/>
    <sheet name="Results" sheetId="5" state="visible" r:id="rId5"/>
    <sheet name="Topline" sheetId="6" state="visible" r:id="rId6"/>
  </sheets>
  <definedNames/>
  <calcPr calcId="124519" fullCalcOnLoad="1"/>
</workbook>
</file>

<file path=xl/styles.xml><?xml version="1.0" encoding="utf-8"?>
<styleSheet xmlns="http://schemas.openxmlformats.org/spreadsheetml/2006/main">
  <numFmts count="2">
    <numFmt numFmtId="164" formatCode="$#,##0.00"/>
    <numFmt numFmtId="165" formatCode="0.0%"/>
  </numFmts>
  <fonts count="5">
    <font>
      <name val="Calibri"/>
      <family val="2"/>
      <color theme="1"/>
      <sz val="11"/>
      <scheme val="minor"/>
    </font>
    <font>
      <b val="1"/>
      <sz val="16"/>
    </font>
    <font>
      <b val="1"/>
      <color rgb="00FFFFFF"/>
    </font>
    <font>
      <b val="1"/>
    </font>
    <font>
      <b val="1"/>
      <sz val="14"/>
    </font>
  </fonts>
  <fills count="9">
    <fill>
      <patternFill/>
    </fill>
    <fill>
      <patternFill patternType="gray125"/>
    </fill>
    <fill>
      <patternFill patternType="solid">
        <fgColor rgb="001F4E78"/>
      </patternFill>
    </fill>
    <fill>
      <patternFill patternType="solid">
        <fgColor rgb="00D9EAF7"/>
      </patternFill>
    </fill>
    <fill>
      <patternFill patternType="solid">
        <fgColor rgb="00EAF3FF"/>
      </patternFill>
    </fill>
    <fill>
      <patternFill patternType="solid">
        <fgColor rgb="00EDEDED"/>
      </patternFill>
    </fill>
    <fill>
      <patternFill patternType="solid">
        <fgColor rgb="00FFF2CC"/>
      </patternFill>
    </fill>
    <fill>
      <patternFill patternType="solid">
        <fgColor rgb="00E2F0D9"/>
      </patternFill>
    </fill>
    <fill>
      <patternFill patternType="solid">
        <fgColor rgb="00FCE4D6"/>
      </patternFill>
    </fill>
  </fills>
  <borders count="1">
    <border>
      <left/>
      <right/>
      <top/>
      <bottom/>
      <diagonal/>
    </border>
  </borders>
  <cellStyleXfs count="1">
    <xf numFmtId="0" fontId="0" fillId="0" borderId="0"/>
  </cellStyleXfs>
  <cellXfs count="42">
    <xf numFmtId="0"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0" fillId="0" borderId="0" applyAlignment="1" applyProtection="1" pivotButton="0" quotePrefix="0" xfId="0">
      <alignment vertical="top" wrapText="1"/>
      <protection locked="0" hidden="0"/>
    </xf>
    <xf numFmtId="0" fontId="0" fillId="5" borderId="0" applyAlignment="1" pivotButton="0" quotePrefix="0" xfId="0">
      <alignment vertical="top" wrapText="1"/>
    </xf>
    <xf numFmtId="0" fontId="0" fillId="6" borderId="0" applyAlignment="1" applyProtection="1" pivotButton="0" quotePrefix="0" xfId="0">
      <alignment vertical="top" wrapText="1"/>
      <protection locked="0" hidden="0"/>
    </xf>
    <xf numFmtId="0" fontId="0" fillId="7" borderId="0" applyAlignment="1" pivotButton="0" quotePrefix="0" xfId="0">
      <alignment vertical="top" wrapText="1"/>
    </xf>
    <xf numFmtId="0" fontId="0" fillId="4" borderId="0" applyAlignment="1" pivotButton="0" quotePrefix="0" xfId="0">
      <alignment vertical="top" wrapText="1"/>
    </xf>
    <xf numFmtId="0" fontId="0" fillId="8" borderId="0" applyAlignment="1" pivotButton="0" quotePrefix="0" xfId="0">
      <alignment vertical="top" wrapText="1"/>
    </xf>
    <xf numFmtId="0" fontId="3" fillId="8" borderId="0" applyAlignment="1" pivotButton="0" quotePrefix="0" xfId="0">
      <alignment vertical="top" wrapText="1"/>
    </xf>
    <xf numFmtId="0" fontId="4" fillId="0" borderId="0" applyAlignment="1" pivotButton="0" quotePrefix="0" xfId="0">
      <alignment vertical="top" wrapText="1"/>
    </xf>
    <xf numFmtId="0" fontId="3" fillId="5" borderId="0" applyAlignment="1" pivotButton="0" quotePrefix="0" xfId="0">
      <alignment vertical="top" wrapText="1"/>
    </xf>
    <xf numFmtId="0" fontId="3" fillId="7" borderId="0" applyAlignment="1" pivotButton="0" quotePrefix="0" xfId="0">
      <alignment vertical="top" wrapText="1"/>
    </xf>
    <xf numFmtId="2" fontId="0" fillId="0" borderId="0" applyAlignment="1" pivotButton="0" quotePrefix="0" xfId="0">
      <alignment vertical="top" wrapText="1"/>
    </xf>
    <xf numFmtId="0" fontId="0" fillId="0" borderId="0" applyAlignment="1" pivotButton="0" quotePrefix="0" xfId="0">
      <alignment vertical="center" wrapText="1"/>
    </xf>
    <xf numFmtId="164" fontId="0" fillId="0" borderId="0" applyAlignment="1" pivotButton="0" quotePrefix="0" xfId="0">
      <alignment vertical="top" wrapText="1"/>
    </xf>
    <xf numFmtId="0" fontId="3" fillId="3" borderId="0" applyAlignment="1" pivotButton="0" quotePrefix="0" xfId="0">
      <alignment vertical="center" wrapText="1"/>
    </xf>
    <xf numFmtId="2" fontId="0" fillId="3" borderId="0" applyAlignment="1" pivotButton="0" quotePrefix="0" xfId="0">
      <alignment vertical="top" wrapText="1"/>
    </xf>
    <xf numFmtId="0" fontId="0" fillId="3" borderId="0" applyAlignment="1" pivotButton="0" quotePrefix="0" xfId="0">
      <alignment vertical="center" wrapText="1"/>
    </xf>
    <xf numFmtId="11" fontId="0" fillId="0" borderId="0" applyAlignment="1" pivotButton="0" quotePrefix="0" xfId="0">
      <alignment vertical="top" wrapText="1"/>
    </xf>
    <xf numFmtId="0" fontId="2" fillId="2" borderId="0" pivotButton="0" quotePrefix="0" xfId="0"/>
    <xf numFmtId="0" fontId="3" fillId="3" borderId="0" pivotButton="0" quotePrefix="0" xfId="0"/>
    <xf numFmtId="164" fontId="0" fillId="0" borderId="0" pivotButton="0" quotePrefix="0" xfId="0"/>
    <xf numFmtId="165" fontId="0" fillId="0" borderId="0" pivotButton="0" quotePrefix="0" xfId="0"/>
    <xf numFmtId="2" fontId="0" fillId="0" borderId="0" pivotButton="0" quotePrefix="0" xfId="0"/>
    <xf numFmtId="0" fontId="3" fillId="4" borderId="0" applyAlignment="1" pivotButton="0" quotePrefix="0" xfId="0">
      <alignment vertical="center" wrapText="1"/>
    </xf>
    <xf numFmtId="0" fontId="0" fillId="6" borderId="0" applyAlignment="1" applyProtection="1" pivotButton="0" quotePrefix="0" xfId="0">
      <alignment vertical="center" wrapText="1"/>
      <protection locked="0" hidden="0"/>
    </xf>
    <xf numFmtId="0" fontId="0" fillId="5" borderId="0" applyAlignment="1" pivotButton="0" quotePrefix="0" xfId="0">
      <alignment vertical="center" wrapText="1"/>
    </xf>
    <xf numFmtId="0" fontId="0" fillId="7" borderId="0" applyAlignment="1" pivotButton="0" quotePrefix="0" xfId="0">
      <alignment vertical="center" wrapText="1"/>
    </xf>
    <xf numFmtId="0" fontId="0" fillId="4" borderId="0" applyAlignment="1" pivotButton="0" quotePrefix="0" xfId="0">
      <alignment vertical="center" wrapText="1"/>
    </xf>
    <xf numFmtId="0" fontId="0" fillId="8" borderId="0" applyAlignment="1" pivotButton="0" quotePrefix="0" xfId="0">
      <alignment vertical="center" wrapText="1"/>
    </xf>
    <xf numFmtId="0" fontId="3" fillId="8" borderId="0" applyAlignment="1" pivotButton="0" quotePrefix="0" xfId="0">
      <alignment vertical="center" wrapText="1"/>
    </xf>
    <xf numFmtId="0" fontId="3" fillId="0" borderId="0" applyAlignment="1" pivotButton="0" quotePrefix="0" xfId="0">
      <alignment vertical="center" wrapText="1"/>
    </xf>
    <xf numFmtId="0" fontId="2" fillId="2" borderId="0" applyAlignment="1" pivotButton="0" quotePrefix="0" xfId="0">
      <alignment vertical="center" wrapText="1"/>
    </xf>
    <xf numFmtId="164" fontId="0" fillId="0" borderId="0" applyAlignment="1" pivotButton="0" quotePrefix="0" xfId="0">
      <alignment vertical="center" wrapText="1"/>
    </xf>
    <xf numFmtId="2" fontId="0" fillId="0" borderId="0" applyAlignment="1" pivotButton="0" quotePrefix="0" xfId="0">
      <alignment vertical="center" wrapText="1"/>
    </xf>
    <xf numFmtId="2" fontId="0" fillId="3" borderId="0" applyAlignment="1" pivotButton="0" quotePrefix="0" xfId="0">
      <alignment vertical="center" wrapText="1"/>
    </xf>
    <xf numFmtId="11" fontId="0" fillId="0" borderId="0" applyAlignment="1" pivotButton="0" quotePrefix="0" xfId="0">
      <alignment vertical="center" wrapText="1"/>
    </xf>
    <xf numFmtId="165"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122" customWidth="1" min="2" max="2"/>
  </cols>
  <sheetData>
    <row r="1">
      <c r="A1" s="1" t="inlineStr">
        <is>
          <t>Sentinel Firewall local adaptation workbook</t>
        </is>
      </c>
      <c r="B1" s="2" t="n"/>
    </row>
    <row r="2">
      <c r="A2" s="2" t="n"/>
      <c r="B2" s="2" t="n"/>
    </row>
    <row r="3">
      <c r="A3" s="3" t="inlineStr">
        <is>
          <t>Purpose</t>
        </is>
      </c>
      <c r="B3" s="2" t="inlineStr">
        <is>
          <t>This workbook accompanies the paper 'The Sentinel Firewall: A Health-System Strategy to Decouple Informal Industrialization from Lead Exposure in LMICs.' The paper asks whether maternal and child health platforms can temporarily reduce lead exposure by replacing contaminated household products with safe substitutes while regulation catches up. This spreadsheet is a simplified local-decision version of that model.</t>
        </is>
      </c>
    </row>
    <row r="4">
      <c r="A4" s="2" t="n"/>
      <c r="B4" s="2" t="n"/>
    </row>
    <row r="5">
      <c r="A5" s="3" t="inlineStr">
        <is>
          <t>What this tool does</t>
        </is>
      </c>
      <c r="B5" s="2" t="inlineStr">
        <is>
          <t>It compares two packages: a Kitchen Package (safe pot, calcium, child utensils) and a Kohl Package (safe maternal and infant kohl). It converts programme delivery into lower maternal and child blood lead levels, child IQ gains, lifetime earnings gains, maternal and neonatal health gains, and secondary adult cardiovascular gains.</t>
        </is>
      </c>
    </row>
    <row r="6">
      <c r="A6" s="2" t="n"/>
      <c r="B6" s="2" t="n"/>
    </row>
    <row r="7">
      <c r="A7" s="3" t="inlineStr">
        <is>
          <t>Who should use it</t>
        </is>
      </c>
      <c r="B7" s="2" t="inlineStr">
        <is>
          <t>This workbook is designed for Ministries of Health, NGOs, environmental health programmes, and local researchers who want to ask a practical question: if local prices, prevalence, attendance, and implementation quality look like our setting, would targeted safe-product substitution likely be worth funding?</t>
        </is>
      </c>
    </row>
    <row r="8">
      <c r="A8" s="2" t="n"/>
      <c r="B8" s="2" t="n"/>
    </row>
    <row r="9">
      <c r="A9" s="3" t="inlineStr">
        <is>
          <t>How to use it</t>
        </is>
      </c>
      <c r="B9" s="2" t="inlineStr">
        <is>
          <t>Go to the Inputs sheet. The grey Default column contains the author's modal assumptions and is locked. Enter local values only in the yellow 'Your local value' column. The green 'Active value' column will automatically use your entry when present and otherwise fall back to the default. The Topline sheet then compares the workbook-default mode-only results with your local mode-only scenario.</t>
        </is>
      </c>
    </row>
    <row r="10">
      <c r="A10" s="2" t="n"/>
      <c r="B10" s="2" t="n"/>
    </row>
    <row r="11">
      <c r="A11" s="3" t="inlineStr">
        <is>
          <t>What to change first</t>
        </is>
      </c>
      <c r="B11" s="2" t="inlineStr">
        <is>
          <t>Start with parameters local decision-makers are most likely to know or influence: GDP per capita, labour share, mortality, product prices, district births and overhead, prevalence in the targeted area, attendance, voucher redemption, stock, and adherence. Scientific parameters such as BLL-to-IQ and IQ-to-earnings are grouped separately and marked 'change cautiously'.</t>
        </is>
      </c>
    </row>
    <row r="12">
      <c r="A12" s="2" t="n"/>
      <c r="B12" s="2" t="n"/>
    </row>
    <row r="13">
      <c r="A13" s="3" t="inlineStr">
        <is>
          <t>How productivity is defined</t>
        </is>
      </c>
      <c r="B13" s="2" t="inlineStr">
        <is>
          <t>Productivity is measured as GDP per capita at purchasing power parity multiplied by labour's share of national income. This values market labour output, including self-employment and informal production that would be missed by observed wages alone. It excludes household production and the intrinsic value of cognition beyond earnings, so the earnings channel remains conservative on that dimension.</t>
        </is>
      </c>
    </row>
    <row r="14">
      <c r="A14" s="2" t="n"/>
      <c r="B14" s="2" t="n"/>
    </row>
    <row r="15">
      <c r="A15" s="3" t="inlineStr">
        <is>
          <t>Important limitation</t>
        </is>
      </c>
      <c r="B15" s="2" t="inlineStr">
        <is>
          <t>This is a deterministic mode-only tool. It does not run the 10,000-draw Monte Carlo uncertainty analysis, does not model parameter correlations, and does not export trial-level data. Use the public Python model for the full probabilistic sensitivity analysis and publication-quality figures.</t>
        </is>
      </c>
    </row>
    <row r="16">
      <c r="A16" s="2" t="n"/>
      <c r="B16" s="2" t="n"/>
    </row>
    <row r="17">
      <c r="A17" s="3" t="inlineStr">
        <is>
          <t>Public files</t>
        </is>
      </c>
      <c r="B17" s="2" t="inlineStr">
        <is>
          <t>Public copies are posted in the Sentinel-Firewall GitHub repository at https://github.com/levine63/Sentinel-Firewall. The main public files are submission_package/public_code_and_data/sentinel_firewall_model.py and submission_package/public_code_and_data/Simulating_sentinel_safe_products.xlsx.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4"/>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20" customWidth="1" min="3" max="3"/>
    <col width="16" customWidth="1" min="4" max="4"/>
    <col width="18" customWidth="1" min="5" max="5"/>
    <col width="18" customWidth="1" min="6" max="6"/>
    <col width="11" customWidth="1" min="7" max="7"/>
    <col width="11" customWidth="1" min="8" max="8"/>
    <col width="74" customWidth="1" min="9" max="9"/>
    <col width="78" customWidth="1" min="10" max="10"/>
    <col width="22" customWidth="1" min="11" max="11"/>
    <col hidden="1" width="22" customWidth="1" min="12" max="12"/>
  </cols>
  <sheetData>
    <row r="1">
      <c r="A1" s="19" t="inlineStr">
        <is>
          <t>Parameter group</t>
        </is>
      </c>
      <c r="B1" s="19" t="inlineStr">
        <is>
          <t>Parameter</t>
        </is>
      </c>
      <c r="C1" s="19" t="inlineStr">
        <is>
          <t>Units</t>
        </is>
      </c>
      <c r="D1" s="19" t="inlineStr">
        <is>
          <t>Default modal value (locked)</t>
        </is>
      </c>
      <c r="E1" s="19" t="inlineStr">
        <is>
          <t>Your local value (edit here)</t>
        </is>
      </c>
      <c r="F1" s="19" t="inlineStr">
        <is>
          <t>Active value</t>
        </is>
      </c>
      <c r="G1" s="19" t="inlineStr">
        <is>
          <t>Low</t>
        </is>
      </c>
      <c r="H1" s="19" t="inlineStr">
        <is>
          <t>High</t>
        </is>
      </c>
      <c r="I1" s="19" t="inlineStr">
        <is>
          <t>Why it matters / plain-language description</t>
        </is>
      </c>
      <c r="J1" s="19" t="inlineStr">
        <is>
          <t>Citation basis</t>
        </is>
      </c>
      <c r="K1" s="19" t="inlineStr">
        <is>
          <t>Change guidance</t>
        </is>
      </c>
      <c r="L1" s="19" t="inlineStr">
        <is>
          <t>Internal name</t>
        </is>
      </c>
    </row>
    <row r="2">
      <c r="A2" s="28" t="inlineStr">
        <is>
          <t>Local macro and demography</t>
        </is>
      </c>
      <c r="B2" s="17" t="n"/>
      <c r="C2" s="17" t="n"/>
      <c r="D2" s="17" t="n"/>
      <c r="E2" s="29" t="n"/>
      <c r="F2" s="17" t="n"/>
      <c r="G2" s="17" t="n"/>
      <c r="H2" s="17" t="n"/>
      <c r="I2" s="17" t="n"/>
      <c r="J2" s="17" t="n"/>
      <c r="K2" s="17" t="n"/>
      <c r="L2" s="17" t="n"/>
    </row>
    <row r="3">
      <c r="A3" s="17" t="inlineStr">
        <is>
          <t>Local macro and demography</t>
        </is>
      </c>
      <c r="B3" s="17" t="inlineStr">
        <is>
          <t>GDP per capita, PPP</t>
        </is>
      </c>
      <c r="C3" s="17" t="inlineStr">
        <is>
          <t>US$ per person per year</t>
        </is>
      </c>
      <c r="D3" s="30" t="n">
        <v>4000</v>
      </c>
      <c r="E3" s="29" t="inlineStr"/>
      <c r="F3" s="31">
        <f>IF(LEN(E3)=0,D3,E3)</f>
        <v/>
      </c>
      <c r="G3" s="17" t="n">
        <v>2000</v>
      </c>
      <c r="H3" s="17" t="n">
        <v>8000</v>
      </c>
      <c r="I3" s="17" t="inlineStr">
        <is>
          <t>Represents a conservative LMIC district-level range rather than an all-country global mean.</t>
        </is>
      </c>
      <c r="J3" s="17" t="inlineStr">
        <is>
          <t>World Bank, GDP per capita, PPP (current international $), lower-middle-income and country comparator series. [World Bank](https://data.worldbank.org/indicator/NY.GDP.PCAP.PP.CD?locations=XN)</t>
        </is>
      </c>
      <c r="K3" s="32" t="inlineStr">
        <is>
          <t>Usually known locally or from public statistics</t>
        </is>
      </c>
      <c r="L3" s="17" t="inlineStr">
        <is>
          <t>gdp_ppp_per_capita</t>
        </is>
      </c>
    </row>
    <row r="4">
      <c r="A4" s="17" t="inlineStr">
        <is>
          <t>Local macro and demography</t>
        </is>
      </c>
      <c r="B4" s="17" t="inlineStr">
        <is>
          <t>Labour share of national income</t>
        </is>
      </c>
      <c r="C4" s="17" t="inlineStr">
        <is>
          <t>Share of GDP</t>
        </is>
      </c>
      <c r="D4" s="30" t="n">
        <v>0.55</v>
      </c>
      <c r="E4" s="29" t="inlineStr"/>
      <c r="F4" s="31">
        <f>IF(LEN(E4)=0,D4,E4)</f>
        <v/>
      </c>
      <c r="G4" s="17" t="n">
        <v>0.5</v>
      </c>
      <c r="H4" s="17" t="n">
        <v>0.58</v>
      </c>
      <c r="I4" s="17" t="inlineStr">
        <is>
          <t>Labour share of national income, used to convert PPP GDP per capita into an annual market-labour productivity anchor. This replaces labour-force participation because GDP per capita already averages across the population; multiplying by labour's share captures labour output including self-employment and informal market production while avoiding reliance on observed wage rates alone.</t>
        </is>
      </c>
      <c r="J4" s="17" t="inlineStr">
        <is>
          <t>ILO labour income share context; Gollin's correction for self-employment and mixed income; World Bank human-capital valuation logic. [ILO WESO](https://www.ilo.org/publications/flagship-reports/world-employment-and-social-outlook-trends-2025), [Gollin](https://ideas.repec.org/a/ucp/jpolec/v110y2002i2p458-474.html), [World Bank CWON](https://www.worldbank.org/en/publication/changing-wealth-of-nations)</t>
        </is>
      </c>
      <c r="K4" s="17" t="inlineStr">
        <is>
          <t>Usually known from public macro data or left at default</t>
        </is>
      </c>
      <c r="L4" s="17" t="inlineStr">
        <is>
          <t>labor_share_income</t>
        </is>
      </c>
    </row>
    <row r="5">
      <c r="A5" s="17" t="inlineStr">
        <is>
          <t>Local macro and demography</t>
        </is>
      </c>
      <c r="B5" s="17" t="inlineStr">
        <is>
          <t>Real annual productivity growth</t>
        </is>
      </c>
      <c r="C5" s="17" t="inlineStr">
        <is>
          <t>Annual rate</t>
        </is>
      </c>
      <c r="D5" s="30" t="n">
        <v>0.02</v>
      </c>
      <c r="E5" s="29" t="inlineStr"/>
      <c r="F5" s="31">
        <f>IF(LEN(E5)=0,D5,E5)</f>
        <v/>
      </c>
      <c r="G5" s="17" t="n">
        <v>0</v>
      </c>
      <c r="H5" s="17" t="n">
        <v>0.025</v>
      </c>
      <c r="I5" s="17" t="inlineStr">
        <is>
          <t>Conservative long-run productivity growth assumption for LMIC decision analysis.</t>
        </is>
      </c>
      <c r="J5" s="17" t="inlineStr">
        <is>
          <t>Program-design assumption anchored in World Bank and ILO growth context; not taken from a single causal paper.</t>
        </is>
      </c>
      <c r="K5" s="17" t="inlineStr">
        <is>
          <t>Change if you have a strong local reason</t>
        </is>
      </c>
      <c r="L5" s="17" t="inlineStr">
        <is>
          <t>growth</t>
        </is>
      </c>
    </row>
    <row r="6">
      <c r="A6" s="17" t="inlineStr">
        <is>
          <t>Local macro and demography</t>
        </is>
      </c>
      <c r="B6" s="17" t="inlineStr">
        <is>
          <t>Social discount rate</t>
        </is>
      </c>
      <c r="C6" s="17" t="inlineStr">
        <is>
          <t>Annual rate</t>
        </is>
      </c>
      <c r="D6" s="30" t="n">
        <v>0.03</v>
      </c>
      <c r="E6" s="29" t="inlineStr"/>
      <c r="F6" s="31">
        <f>IF(LEN(E6)=0,D6,E6)</f>
        <v/>
      </c>
      <c r="G6" s="17" t="n">
        <v>0.01</v>
      </c>
      <c r="H6" s="17" t="n">
        <v>0.05</v>
      </c>
      <c r="I6" s="17" t="inlineStr">
        <is>
          <t>Standard health-economic social discount range.</t>
        </is>
      </c>
      <c r="J6" s="17" t="inlineStr">
        <is>
          <t>Briggs, Claxton, and Sculpher (2006).</t>
        </is>
      </c>
      <c r="K6" s="17" t="inlineStr">
        <is>
          <t>Policy/evaluation choice</t>
        </is>
      </c>
      <c r="L6" s="17" t="inlineStr">
        <is>
          <t>discount</t>
        </is>
      </c>
    </row>
    <row r="7">
      <c r="A7" s="17" t="inlineStr">
        <is>
          <t>Local macro and demography</t>
        </is>
      </c>
      <c r="B7" s="17" t="inlineStr">
        <is>
          <t>Survival from birth to age 18</t>
        </is>
      </c>
      <c r="C7" s="17" t="inlineStr">
        <is>
          <t>Probability</t>
        </is>
      </c>
      <c r="D7" s="30" t="n">
        <v>0.95</v>
      </c>
      <c r="E7" s="29" t="inlineStr"/>
      <c r="F7" s="31">
        <f>IF(LEN(E7)=0,D7,E7)</f>
        <v/>
      </c>
      <c r="G7" s="17" t="n">
        <v>0.92</v>
      </c>
      <c r="H7" s="17" t="n">
        <v>0.97</v>
      </c>
      <c r="I7" s="17" t="inlineStr">
        <is>
          <t>Reflects survival to adulthood in contemporary LMIC settings.</t>
        </is>
      </c>
      <c r="J7" s="17" t="inlineStr">
        <is>
          <t>UN child mortality context and World Bank life-table indicators. UNICEF/UN IGME child mortality; World Bank survival indicators. [UNICEF](https://data.unicef.org/topic/child-survival/under-five-mortality/)</t>
        </is>
      </c>
      <c r="K7" s="32" t="inlineStr">
        <is>
          <t>Usually known locally or from public statistics</t>
        </is>
      </c>
      <c r="L7" s="17" t="inlineStr">
        <is>
          <t>p18</t>
        </is>
      </c>
    </row>
    <row r="8">
      <c r="A8" s="17" t="inlineStr">
        <is>
          <t>Local macro and demography</t>
        </is>
      </c>
      <c r="B8" s="17" t="inlineStr">
        <is>
          <t>Survival from birth to age 65</t>
        </is>
      </c>
      <c r="C8" s="17" t="inlineStr">
        <is>
          <t>Probability</t>
        </is>
      </c>
      <c r="D8" s="30" t="n">
        <v>0.78</v>
      </c>
      <c r="E8" s="29" t="inlineStr"/>
      <c r="F8" s="31">
        <f>IF(LEN(E8)=0,D8,E8)</f>
        <v/>
      </c>
      <c r="G8" s="17" t="n">
        <v>0.68</v>
      </c>
      <c r="H8" s="17" t="n">
        <v>0.85</v>
      </c>
      <c r="I8" s="17" t="inlineStr">
        <is>
          <t>Captures plausible unconditional survival to age 65 across higher- and lower-survival LMIC settings.</t>
        </is>
      </c>
      <c r="J8" s="17" t="inlineStr">
        <is>
          <t>World Bank survival to age 65 indicator. [World Bank](https://genderdata.worldbank.org/en/indicator/sp-dyn-to65-zs)</t>
        </is>
      </c>
      <c r="K8" s="32" t="inlineStr">
        <is>
          <t>Usually known locally or from public statistics</t>
        </is>
      </c>
      <c r="L8" s="17" t="inlineStr">
        <is>
          <t>p65</t>
        </is>
      </c>
    </row>
    <row r="9">
      <c r="A9" s="17" t="inlineStr">
        <is>
          <t>Local macro and demography</t>
        </is>
      </c>
      <c r="B9" s="17" t="inlineStr">
        <is>
          <t>Mortality timing shape parameter</t>
        </is>
      </c>
      <c r="C9" s="17" t="inlineStr">
        <is>
          <t>Unitless</t>
        </is>
      </c>
      <c r="D9" s="30" t="n">
        <v>2</v>
      </c>
      <c r="E9" s="29" t="inlineStr"/>
      <c r="F9" s="31">
        <f>IF(LEN(E9)=0,D9,E9)</f>
        <v/>
      </c>
      <c r="G9" s="17" t="n">
        <v>1.5</v>
      </c>
      <c r="H9" s="17" t="n">
        <v>3</v>
      </c>
      <c r="I9" s="17" t="inlineStr">
        <is>
          <t>Shape parameter used to concentrate mortality later in the working life.</t>
        </is>
      </c>
      <c r="J9" s="17" t="inlineStr">
        <is>
          <t>Structural modeling assumption; no direct empirical source.</t>
        </is>
      </c>
      <c r="K9" s="17" t="inlineStr">
        <is>
          <t>Usually leave at default</t>
        </is>
      </c>
      <c r="L9" s="17" t="inlineStr">
        <is>
          <t>k</t>
        </is>
      </c>
    </row>
    <row r="10">
      <c r="A10" s="17" t="inlineStr">
        <is>
          <t>Local macro and demography</t>
        </is>
      </c>
      <c r="B10" s="17" t="inlineStr">
        <is>
          <t>Age when earnings begin</t>
        </is>
      </c>
      <c r="C10" s="17" t="inlineStr">
        <is>
          <t>Years</t>
        </is>
      </c>
      <c r="D10" s="30" t="n">
        <v>18</v>
      </c>
      <c r="E10" s="29" t="inlineStr"/>
      <c r="F10" s="31">
        <f>IF(LEN(E10)=0,D10,E10)</f>
        <v/>
      </c>
      <c r="G10" s="17" t="n">
        <v>14</v>
      </c>
      <c r="H10" s="17" t="n">
        <v>20</v>
      </c>
      <c r="I10" s="17" t="inlineStr">
        <is>
          <t>Captures informal labor entry at the low end and delayed formal entry at the high end.</t>
        </is>
      </c>
      <c r="J10" s="17" t="inlineStr">
        <is>
          <t>ILO child labor and youth labor-force context; program-design range.</t>
        </is>
      </c>
      <c r="K10" s="17" t="inlineStr">
        <is>
          <t>Usually known locally</t>
        </is>
      </c>
      <c r="L10" s="17" t="inlineStr">
        <is>
          <t>labor_entry_age</t>
        </is>
      </c>
    </row>
    <row r="11">
      <c r="A11" s="17" t="inlineStr">
        <is>
          <t>Local macro and demography</t>
        </is>
      </c>
      <c r="B11" s="17" t="inlineStr">
        <is>
          <t>Mother age at intervention</t>
        </is>
      </c>
      <c r="C11" s="17" t="inlineStr">
        <is>
          <t>Years</t>
        </is>
      </c>
      <c r="D11" s="30" t="n">
        <v>25</v>
      </c>
      <c r="E11" s="29" t="inlineStr"/>
      <c r="F11" s="31">
        <f>IF(LEN(E11)=0,D11,E11)</f>
        <v/>
      </c>
      <c r="G11" s="17" t="n">
        <v>18</v>
      </c>
      <c r="H11" s="17" t="n">
        <v>35</v>
      </c>
      <c r="I11" s="17" t="inlineStr">
        <is>
          <t>Plausible age range for mothers reached by ANC in LMIC settings.</t>
        </is>
      </c>
      <c r="J11" s="17" t="inlineStr">
        <is>
          <t>DHS fertility and maternal age distributions; program-design range.</t>
        </is>
      </c>
      <c r="K11" s="17" t="inlineStr">
        <is>
          <t>Usually known locally</t>
        </is>
      </c>
      <c r="L11" s="17" t="inlineStr">
        <is>
          <t>mom_age</t>
        </is>
      </c>
    </row>
    <row r="12">
      <c r="A12" s="17" t="inlineStr">
        <is>
          <t>Local macro and demography</t>
        </is>
      </c>
      <c r="B12" s="17" t="inlineStr">
        <is>
          <t>Grandparent age at intervention</t>
        </is>
      </c>
      <c r="C12" s="17" t="inlineStr">
        <is>
          <t>Years</t>
        </is>
      </c>
      <c r="D12" s="30" t="n">
        <v>52</v>
      </c>
      <c r="E12" s="29" t="inlineStr"/>
      <c r="F12" s="31">
        <f>IF(LEN(E12)=0,D12,E12)</f>
        <v/>
      </c>
      <c r="G12" s="17" t="n">
        <v>42</v>
      </c>
      <c r="H12" s="17" t="n">
        <v>70</v>
      </c>
      <c r="I12" s="17" t="inlineStr">
        <is>
          <t>Representative intergenerational age span for co-resident grandparents.</t>
        </is>
      </c>
      <c r="J12" s="17" t="inlineStr">
        <is>
          <t>Household-structure and fertility-timing synthesis; program-design range.</t>
        </is>
      </c>
      <c r="K12" s="17" t="inlineStr">
        <is>
          <t>Usually leave at default</t>
        </is>
      </c>
      <c r="L12" s="17" t="inlineStr">
        <is>
          <t>gp_age</t>
        </is>
      </c>
    </row>
    <row r="13">
      <c r="A13" s="17" t="inlineStr">
        <is>
          <t>Local macro and demography</t>
        </is>
      </c>
      <c r="B13" s="17" t="inlineStr">
        <is>
          <t>Grandparent co-residence</t>
        </is>
      </c>
      <c r="C13" s="17" t="inlineStr">
        <is>
          <t>Probability</t>
        </is>
      </c>
      <c r="D13" s="30" t="n">
        <v>0.5</v>
      </c>
      <c r="E13" s="29" t="inlineStr"/>
      <c r="F13" s="31">
        <f>IF(LEN(E13)=0,D13,E13)</f>
        <v/>
      </c>
      <c r="G13" s="17" t="n">
        <v>0.2</v>
      </c>
      <c r="H13" s="17" t="n">
        <v>0.7</v>
      </c>
      <c r="I13" s="17" t="inlineStr">
        <is>
          <t>Captures substantial cross-setting variation in multigenerational co-residence.</t>
        </is>
      </c>
      <c r="J13" s="17" t="inlineStr">
        <is>
          <t>DHS and household structure synthesis; program-design range.</t>
        </is>
      </c>
      <c r="K13" s="17" t="inlineStr">
        <is>
          <t>Usually known locally</t>
        </is>
      </c>
      <c r="L13" s="17" t="inlineStr">
        <is>
          <t>gp_coresidence_prob</t>
        </is>
      </c>
    </row>
    <row r="14">
      <c r="A14" s="28" t="inlineStr">
        <is>
          <t>Prices and overhead</t>
        </is>
      </c>
      <c r="B14" s="17" t="n"/>
      <c r="C14" s="17" t="n"/>
      <c r="D14" s="17" t="n"/>
      <c r="E14" s="29" t="n"/>
      <c r="F14" s="17" t="n"/>
      <c r="G14" s="17" t="n"/>
      <c r="H14" s="17" t="n"/>
      <c r="I14" s="17" t="n"/>
      <c r="J14" s="17" t="n"/>
      <c r="K14" s="17" t="n"/>
      <c r="L14" s="17" t="n"/>
    </row>
    <row r="15">
      <c r="A15" s="17" t="inlineStr">
        <is>
          <t>Prices and overhead</t>
        </is>
      </c>
      <c r="B15" s="17" t="inlineStr">
        <is>
          <t>Lead-safe pot product cost</t>
        </is>
      </c>
      <c r="C15" s="17" t="inlineStr">
        <is>
          <t>US$</t>
        </is>
      </c>
      <c r="D15" s="30" t="n">
        <v>12</v>
      </c>
      <c r="E15" s="29" t="inlineStr"/>
      <c r="F15" s="31">
        <f>IF(LEN(E15)=0,D15,E15)</f>
        <v/>
      </c>
      <c r="G15" s="17" t="n">
        <v>8</v>
      </c>
      <c r="H15" s="17" t="n">
        <v>15</v>
      </c>
      <c r="I15" s="17" t="inlineStr">
        <is>
          <t>Direct cost of safe pot before logistics and overhead.</t>
        </is>
      </c>
      <c r="J15" s="17" t="inlineStr">
        <is>
          <t>Program-budget assumption informed by procurement and retail comparators; requires local validation before implementation.</t>
        </is>
      </c>
      <c r="K15" s="32" t="inlineStr">
        <is>
          <t>Good local input</t>
        </is>
      </c>
      <c r="L15" s="17" t="inlineStr">
        <is>
          <t>cost_pot_direct</t>
        </is>
      </c>
    </row>
    <row r="16">
      <c r="A16" s="17" t="inlineStr">
        <is>
          <t>Prices and overhead</t>
        </is>
      </c>
      <c r="B16" s="17" t="inlineStr">
        <is>
          <t>Safe child feeding-utensil product cost</t>
        </is>
      </c>
      <c r="C16" s="17" t="inlineStr">
        <is>
          <t>US$</t>
        </is>
      </c>
      <c r="D16" s="30" t="n">
        <v>1.5</v>
      </c>
      <c r="E16" s="29" t="inlineStr"/>
      <c r="F16" s="31">
        <f>IF(LEN(E16)=0,D16,E16)</f>
        <v/>
      </c>
      <c r="G16" s="17" t="n">
        <v>1</v>
      </c>
      <c r="H16" s="17" t="n">
        <v>2.5</v>
      </c>
      <c r="I16" s="17" t="inlineStr">
        <is>
          <t>Direct cost of utensils or cup-spoon substitute.</t>
        </is>
      </c>
      <c r="J16" s="17" t="inlineStr">
        <is>
          <t>Program-budget assumption informed by low-cost commodity procurement comparators.</t>
        </is>
      </c>
      <c r="K16" s="32" t="inlineStr">
        <is>
          <t>Good local input</t>
        </is>
      </c>
      <c r="L16" s="17" t="inlineStr">
        <is>
          <t>cost_utensils_direct</t>
        </is>
      </c>
    </row>
    <row r="17">
      <c r="A17" s="17" t="inlineStr">
        <is>
          <t>Prices and overhead</t>
        </is>
      </c>
      <c r="B17" s="17" t="inlineStr">
        <is>
          <t>Calcium course product cost</t>
        </is>
      </c>
      <c r="C17" s="17" t="inlineStr">
        <is>
          <t>US$</t>
        </is>
      </c>
      <c r="D17" s="30" t="n">
        <v>1.75</v>
      </c>
      <c r="E17" s="29" t="inlineStr"/>
      <c r="F17" s="31">
        <f>IF(LEN(E17)=0,D17,E17)</f>
        <v/>
      </c>
      <c r="G17" s="17" t="n">
        <v>1.25</v>
      </c>
      <c r="H17" s="17" t="n">
        <v>3</v>
      </c>
      <c r="I17" s="17" t="inlineStr">
        <is>
          <t>Direct cost of calcium course.</t>
        </is>
      </c>
      <c r="J17" s="17" t="inlineStr">
        <is>
          <t>WHO calcium guideline context and UNICEF supply-style commodity pricing. [WHO](https://www.who.int/publications/i/item/9789241505376)</t>
        </is>
      </c>
      <c r="K17" s="32" t="inlineStr">
        <is>
          <t>Good local input</t>
        </is>
      </c>
      <c r="L17" s="17" t="inlineStr">
        <is>
          <t>cost_calcium_direct</t>
        </is>
      </c>
    </row>
    <row r="18">
      <c r="A18" s="17" t="inlineStr">
        <is>
          <t>Prices and overhead</t>
        </is>
      </c>
      <c r="B18" s="17" t="inlineStr">
        <is>
          <t>Safe maternal kohl product cost</t>
        </is>
      </c>
      <c r="C18" s="17" t="inlineStr">
        <is>
          <t>US$</t>
        </is>
      </c>
      <c r="D18" s="30" t="n">
        <v>0.75</v>
      </c>
      <c r="E18" s="29" t="inlineStr"/>
      <c r="F18" s="31">
        <f>IF(LEN(E18)=0,D18,E18)</f>
        <v/>
      </c>
      <c r="G18" s="17" t="n">
        <v>0.4</v>
      </c>
      <c r="H18" s="17" t="n">
        <v>1.25</v>
      </c>
      <c r="I18" s="17" t="inlineStr">
        <is>
          <t>Direct cost of safe maternal kohl substitute.</t>
        </is>
      </c>
      <c r="J18" s="17" t="inlineStr">
        <is>
          <t>Program-budget assumption informed by low-cost cosmetic substitution framing; local market validation needed.</t>
        </is>
      </c>
      <c r="K18" s="32" t="inlineStr">
        <is>
          <t>Good local input</t>
        </is>
      </c>
      <c r="L18" s="17" t="inlineStr">
        <is>
          <t>cost_kohl_maternal_direct</t>
        </is>
      </c>
    </row>
    <row r="19">
      <c r="A19" s="17" t="inlineStr">
        <is>
          <t>Prices and overhead</t>
        </is>
      </c>
      <c r="B19" s="17" t="inlineStr">
        <is>
          <t>Safe infant kohl product cost</t>
        </is>
      </c>
      <c r="C19" s="17" t="inlineStr">
        <is>
          <t>US$</t>
        </is>
      </c>
      <c r="D19" s="30" t="n">
        <v>1.5</v>
      </c>
      <c r="E19" s="29" t="inlineStr"/>
      <c r="F19" s="31">
        <f>IF(LEN(E19)=0,D19,E19)</f>
        <v/>
      </c>
      <c r="G19" s="17" t="n">
        <v>1.2</v>
      </c>
      <c r="H19" s="17" t="n">
        <v>3</v>
      </c>
      <c r="I19" s="17" t="inlineStr">
        <is>
          <t>Direct cost of infant kohl substitute.</t>
        </is>
      </c>
      <c r="J19" s="17" t="inlineStr">
        <is>
          <t>Program-budget assumption; local procurement validation needed.</t>
        </is>
      </c>
      <c r="K19" s="32" t="inlineStr">
        <is>
          <t>Good local input</t>
        </is>
      </c>
      <c r="L19" s="17" t="inlineStr">
        <is>
          <t>cost_kohl_infant_direct</t>
        </is>
      </c>
    </row>
    <row r="20">
      <c r="A20" s="17" t="inlineStr">
        <is>
          <t>Prices and overhead</t>
        </is>
      </c>
      <c r="B20" s="17" t="inlineStr">
        <is>
          <t>Counseling and explanation cost per contact</t>
        </is>
      </c>
      <c r="C20" s="17" t="inlineStr">
        <is>
          <t>US$</t>
        </is>
      </c>
      <c r="D20" s="30" t="n">
        <v>0.35</v>
      </c>
      <c r="E20" s="29" t="inlineStr"/>
      <c r="F20" s="31">
        <f>IF(LEN(E20)=0,D20,E20)</f>
        <v/>
      </c>
      <c r="G20" s="17" t="n">
        <v>0.3</v>
      </c>
      <c r="H20" s="17" t="n">
        <v>0.5</v>
      </c>
      <c r="I20" s="17" t="inlineStr">
        <is>
          <t>Counseling and explanation cost per relevant contact.</t>
        </is>
      </c>
      <c r="J20" s="17" t="inlineStr">
        <is>
          <t>Health worker time-cost assumption informed by WHO costing conventions and low-wage program delivery settings.</t>
        </is>
      </c>
      <c r="K20" s="32" t="inlineStr">
        <is>
          <t>Programme lever</t>
        </is>
      </c>
      <c r="L20" s="17" t="inlineStr">
        <is>
          <t>cost_explain</t>
        </is>
      </c>
    </row>
    <row r="21">
      <c r="A21" s="17" t="inlineStr">
        <is>
          <t>Prices and overhead</t>
        </is>
      </c>
      <c r="B21" s="17" t="inlineStr">
        <is>
          <t>Bulk distribution plus retailer margin for pot</t>
        </is>
      </c>
      <c r="C21" s="17" t="inlineStr">
        <is>
          <t>US$</t>
        </is>
      </c>
      <c r="D21" s="30" t="n">
        <v>4</v>
      </c>
      <c r="E21" s="29" t="inlineStr"/>
      <c r="F21" s="31">
        <f>IF(LEN(E21)=0,D21,E21)</f>
        <v/>
      </c>
      <c r="G21" s="17" t="n">
        <v>3</v>
      </c>
      <c r="H21" s="17" t="n">
        <v>5</v>
      </c>
      <c r="I21" s="17" t="inlineStr">
        <is>
          <t>Bulk distribution cost plus retailer margin for pot voucher redemption. The previous bulk distribution line is increased by approximately `2` to include merchant compensation explicitly.</t>
        </is>
      </c>
      <c r="J21" s="17" t="inlineStr">
        <is>
          <t>Program-logistics and retailer-margin assumption.</t>
        </is>
      </c>
      <c r="K21" s="32" t="inlineStr">
        <is>
          <t>Programme lever</t>
        </is>
      </c>
      <c r="L21" s="17" t="inlineStr">
        <is>
          <t>cost_bulk_distribution_margin</t>
        </is>
      </c>
    </row>
    <row r="22">
      <c r="A22" s="17" t="inlineStr">
        <is>
          <t>Prices and overhead</t>
        </is>
      </c>
      <c r="B22" s="17" t="inlineStr">
        <is>
          <t>Distribution cost for small item</t>
        </is>
      </c>
      <c r="C22" s="17" t="inlineStr">
        <is>
          <t>US$</t>
        </is>
      </c>
      <c r="D22" s="30" t="n">
        <v>0.5</v>
      </c>
      <c r="E22" s="29" t="inlineStr"/>
      <c r="F22" s="31">
        <f>IF(LEN(E22)=0,D22,E22)</f>
        <v/>
      </c>
      <c r="G22" s="17" t="n">
        <v>0.25</v>
      </c>
      <c r="H22" s="17" t="n">
        <v>1</v>
      </c>
      <c r="I22" s="17" t="inlineStr">
        <is>
          <t>Distribution cost for smaller goods.</t>
        </is>
      </c>
      <c r="J22" s="17" t="inlineStr">
        <is>
          <t>Program-logistics assumption.</t>
        </is>
      </c>
      <c r="K22" s="32" t="inlineStr">
        <is>
          <t>Programme lever</t>
        </is>
      </c>
      <c r="L22" s="17" t="inlineStr">
        <is>
          <t>cost_dist_light</t>
        </is>
      </c>
    </row>
    <row r="23">
      <c r="A23" s="17" t="inlineStr">
        <is>
          <t>Prices and overhead</t>
        </is>
      </c>
      <c r="B23" s="17" t="inlineStr">
        <is>
          <t>Programme overhead markup</t>
        </is>
      </c>
      <c r="C23" s="17" t="inlineStr">
        <is>
          <t>Share of direct product plus distribution cost</t>
        </is>
      </c>
      <c r="D23" s="30" t="n">
        <v>0.6</v>
      </c>
      <c r="E23" s="29" t="inlineStr"/>
      <c r="F23" s="31">
        <f>IF(LEN(E23)=0,D23,E23)</f>
        <v/>
      </c>
      <c r="G23" s="17" t="n">
        <v>0.3</v>
      </c>
      <c r="H23" s="17" t="n">
        <v>1</v>
      </c>
      <c r="I23" s="17" t="inlineStr">
        <is>
          <t>Program markup applied to direct product plus distribution costs. Because retailer margin is now included in the bulk pot distribution line, this parameter covers wastage, supply-chain overhead, shrinkage, supervision, and health-system administration.</t>
        </is>
      </c>
      <c r="J23" s="17" t="inlineStr">
        <is>
          <t>Program-budget assumption informed by public-health supply-chain and administration experience.</t>
        </is>
      </c>
      <c r="K23" s="32" t="inlineStr">
        <is>
          <t>Programme lever</t>
        </is>
      </c>
      <c r="L23" s="17" t="inlineStr">
        <is>
          <t>logistics_markup</t>
        </is>
      </c>
    </row>
    <row r="24">
      <c r="A24" s="17" t="inlineStr">
        <is>
          <t>Prices and overhead</t>
        </is>
      </c>
      <c r="B24" s="17" t="inlineStr">
        <is>
          <t>National and district fixed programme cost per screening unit</t>
        </is>
      </c>
      <c r="C24" s="17" t="inlineStr">
        <is>
          <t>US$</t>
        </is>
      </c>
      <c r="D24" s="30" t="n">
        <v>50000</v>
      </c>
      <c r="E24" s="29" t="inlineStr"/>
      <c r="F24" s="31">
        <f>IF(LEN(E24)=0,D24,E24)</f>
        <v/>
      </c>
      <c r="G24" s="17" t="n">
        <v>20000</v>
      </c>
      <c r="H24" s="17" t="n">
        <v>100000</v>
      </c>
      <c r="I24" s="17" t="inlineStr">
        <is>
          <t>Fully loaded national and district-level sentinel screening and program setup cost.</t>
        </is>
      </c>
      <c r="J24" s="17" t="inlineStr">
        <is>
          <t>Program-design assumption informed by XRF procurement, supervision, training, coordination, and district operations needs.</t>
        </is>
      </c>
      <c r="K24" s="32" t="inlineStr">
        <is>
          <t>Good local input</t>
        </is>
      </c>
      <c r="L24" s="17" t="inlineStr">
        <is>
          <t>district_fixed_cost</t>
        </is>
      </c>
    </row>
    <row r="25">
      <c r="A25" s="17" t="inlineStr">
        <is>
          <t>Prices and overhead</t>
        </is>
      </c>
      <c r="B25" s="17" t="inlineStr">
        <is>
          <t>Births per screening unit</t>
        </is>
      </c>
      <c r="C25" s="17" t="inlineStr">
        <is>
          <t>Births</t>
        </is>
      </c>
      <c r="D25" s="30" t="n">
        <v>20000</v>
      </c>
      <c r="E25" s="29" t="inlineStr"/>
      <c r="F25" s="31">
        <f>IF(LEN(E25)=0,D25,E25)</f>
        <v/>
      </c>
      <c r="G25" s="17" t="n">
        <v>4000</v>
      </c>
      <c r="H25" s="17" t="n">
        <v>50000</v>
      </c>
      <c r="I25" s="17" t="inlineStr">
        <is>
          <t>Effective births per screening unit for spreading overhead. The mode assumes a shared-service model in which XRF assets and specialized supervision are used across multiple smaller districts or catchments.</t>
        </is>
      </c>
      <c r="J25" s="17" t="inlineStr">
        <is>
          <t>Administrative and fertility-design assumption anchored in DHS birth rates, district heterogeneity, and capital-efficiency logic.</t>
        </is>
      </c>
      <c r="K25" s="32" t="inlineStr">
        <is>
          <t>Good local input</t>
        </is>
      </c>
      <c r="L25" s="17" t="inlineStr">
        <is>
          <t>district_births</t>
        </is>
      </c>
    </row>
    <row r="26">
      <c r="A26" s="28" t="inlineStr">
        <is>
          <t>Targeting and prevalence</t>
        </is>
      </c>
      <c r="B26" s="17" t="n"/>
      <c r="C26" s="17" t="n"/>
      <c r="D26" s="17" t="n"/>
      <c r="E26" s="29" t="n"/>
      <c r="F26" s="17" t="n"/>
      <c r="G26" s="17" t="n"/>
      <c r="H26" s="17" t="n"/>
      <c r="I26" s="17" t="n"/>
      <c r="J26" s="17" t="n"/>
      <c r="K26" s="17" t="n"/>
      <c r="L26" s="17" t="n"/>
    </row>
    <row r="27">
      <c r="A27" s="17" t="inlineStr">
        <is>
          <t>Targeting and prevalence</t>
        </is>
      </c>
      <c r="B27" s="17" t="inlineStr">
        <is>
          <t>Unsafe pot prevalence in targeted households</t>
        </is>
      </c>
      <c r="C27" s="17" t="inlineStr">
        <is>
          <t>Share</t>
        </is>
      </c>
      <c r="D27" s="30" t="n">
        <v>0.75</v>
      </c>
      <c r="E27" s="29" t="inlineStr"/>
      <c r="F27" s="31">
        <f>IF(LEN(E27)=0,D27,E27)</f>
        <v/>
      </c>
      <c r="G27" s="17" t="n">
        <v>0.5</v>
      </c>
      <c r="H27" s="17" t="n">
        <v>0.9</v>
      </c>
      <c r="I27" s="17" t="inlineStr">
        <is>
          <t>Hazard prevalence among households in screened red districts. The range assumes sentinel screening can target somewhat better than a broad district average.</t>
        </is>
      </c>
      <c r="J27" s="17" t="inlineStr">
        <is>
          <t>Pure Earth and hotspot screening logic; synthesis assumption requiring local validation.</t>
        </is>
      </c>
      <c r="K27" s="32" t="inlineStr">
        <is>
          <t>Good local input</t>
        </is>
      </c>
      <c r="L27" s="17" t="inlineStr">
        <is>
          <t>prev_pot</t>
        </is>
      </c>
    </row>
    <row r="28">
      <c r="A28" s="17" t="inlineStr">
        <is>
          <t>Targeting and prevalence</t>
        </is>
      </c>
      <c r="B28" s="17" t="inlineStr">
        <is>
          <t>Unsafe maternal kohl prevalence in targeted households</t>
        </is>
      </c>
      <c r="C28" s="17" t="inlineStr">
        <is>
          <t>Share</t>
        </is>
      </c>
      <c r="D28" s="30" t="n">
        <v>0.7</v>
      </c>
      <c r="E28" s="29" t="inlineStr"/>
      <c r="F28" s="31">
        <f>IF(LEN(E28)=0,D28,E28)</f>
        <v/>
      </c>
      <c r="G28" s="17" t="n">
        <v>0.4</v>
      </c>
      <c r="H28" s="17" t="n">
        <v>0.85</v>
      </c>
      <c r="I28" s="17" t="inlineStr">
        <is>
          <t>Maternal kohl prevalence in higher-use settings selected for intervention. The higher mode reflects that this is a conditional prevalence in screened hotspots rather than a national average.</t>
        </is>
      </c>
      <c r="J28" s="17" t="inlineStr">
        <is>
          <t>Survey, ethnographic, and clinical synthesis of traditional eye cosmetic use; see kohl citations below. The parameter is partly endogenous to programme management because stricter hotspot screening and higher intervention thresholds will raise prevalence among those targeted.</t>
        </is>
      </c>
      <c r="K28" s="32" t="inlineStr">
        <is>
          <t>Good local input</t>
        </is>
      </c>
      <c r="L28" s="17" t="inlineStr">
        <is>
          <t>prev_kohl_maternal</t>
        </is>
      </c>
    </row>
    <row r="29">
      <c r="A29" s="17" t="inlineStr">
        <is>
          <t>Targeting and prevalence</t>
        </is>
      </c>
      <c r="B29" s="17" t="inlineStr">
        <is>
          <t>Unsafe infant kohl prevalence in targeted households</t>
        </is>
      </c>
      <c r="C29" s="17" t="inlineStr">
        <is>
          <t>Share</t>
        </is>
      </c>
      <c r="D29" s="30" t="n">
        <v>0.7</v>
      </c>
      <c r="E29" s="29" t="inlineStr"/>
      <c r="F29" s="31">
        <f>IF(LEN(E29)=0,D29,E29)</f>
        <v/>
      </c>
      <c r="G29" s="17" t="n">
        <v>0.4</v>
      </c>
      <c r="H29" s="17" t="n">
        <v>0.85</v>
      </c>
      <c r="I29" s="17" t="inlineStr">
        <is>
          <t>Infant kohl prevalence among infants in high-use settings. The main model allows exposure among boys as well as girls; a separate robustness check restricts infant kohl substitution to girls only.</t>
        </is>
      </c>
      <c r="J29" s="17" t="inlineStr">
        <is>
          <t>Survey and ethnographic synthesis; see kohl citations below. The higher mode reflects settings where infant kohl use is common across both sexes and where screening is intended to select strongly affected areas rather than marginal districts.</t>
        </is>
      </c>
      <c r="K29" s="32" t="inlineStr">
        <is>
          <t>Good local input</t>
        </is>
      </c>
      <c r="L29" s="17" t="inlineStr">
        <is>
          <t>prev_kohl_infant</t>
        </is>
      </c>
    </row>
    <row r="30">
      <c r="A30" s="17" t="inlineStr">
        <is>
          <t>Targeting and prevalence</t>
        </is>
      </c>
      <c r="B30" s="17" t="inlineStr">
        <is>
          <t>Unsafe child feeding-utensil prevalence in targeted households</t>
        </is>
      </c>
      <c r="C30" s="17" t="inlineStr">
        <is>
          <t>Share</t>
        </is>
      </c>
      <c r="D30" s="30" t="n">
        <v>0.6</v>
      </c>
      <c r="E30" s="29" t="inlineStr"/>
      <c r="F30" s="31">
        <f>IF(LEN(E30)=0,D30,E30)</f>
        <v/>
      </c>
      <c r="G30" s="17" t="n">
        <v>0.4</v>
      </c>
      <c r="H30" s="17" t="n">
        <v>0.8</v>
      </c>
      <c r="I30" s="17" t="inlineStr">
        <is>
          <t>Unsafe utensil prevalence in targeted hotspots.</t>
        </is>
      </c>
      <c r="J30" s="17" t="inlineStr">
        <is>
          <t>Program-design assumption informed by lead-glazed ceramic exposure literature and sentinel targeting logic.</t>
        </is>
      </c>
      <c r="K30" s="32" t="inlineStr">
        <is>
          <t>Good local input</t>
        </is>
      </c>
      <c r="L30" s="17" t="inlineStr">
        <is>
          <t>prev_utensils</t>
        </is>
      </c>
    </row>
    <row r="31">
      <c r="A31" s="28" t="inlineStr">
        <is>
          <t>Implementation and programme reach</t>
        </is>
      </c>
      <c r="B31" s="17" t="n"/>
      <c r="C31" s="17" t="n"/>
      <c r="D31" s="17" t="n"/>
      <c r="E31" s="29" t="n"/>
      <c r="F31" s="17" t="n"/>
      <c r="G31" s="17" t="n"/>
      <c r="H31" s="17" t="n"/>
      <c r="I31" s="17" t="n"/>
      <c r="J31" s="17" t="n"/>
      <c r="K31" s="17" t="n"/>
      <c r="L31" s="17" t="n"/>
    </row>
    <row r="32">
      <c r="A32" s="17" t="inlineStr">
        <is>
          <t>Implementation and programme reach</t>
        </is>
      </c>
      <c r="B32" s="17" t="inlineStr">
        <is>
          <t>Attendance at antenatal care contact</t>
        </is>
      </c>
      <c r="C32" s="17" t="inlineStr">
        <is>
          <t>Probability</t>
        </is>
      </c>
      <c r="D32" s="30" t="n">
        <v>0.82</v>
      </c>
      <c r="E32" s="29" t="inlineStr"/>
      <c r="F32" s="31">
        <f>IF(LEN(E32)=0,D32,E32)</f>
        <v/>
      </c>
      <c r="G32" s="17" t="n">
        <v>0.55</v>
      </c>
      <c r="H32" s="17" t="n">
        <v>0.95</v>
      </c>
      <c r="I32" s="17" t="inlineStr">
        <is>
          <t>ANC-1 attendance benchmark.</t>
        </is>
      </c>
      <c r="J32" s="17" t="inlineStr">
        <is>
          <t>UNICEF antenatal care data. [UNICEF](https://data.unicef.org/topic/maternal-health/antenatal-care/)</t>
        </is>
      </c>
      <c r="K32" s="32" t="inlineStr">
        <is>
          <t>Good local input</t>
        </is>
      </c>
      <c r="L32" s="17" t="inlineStr">
        <is>
          <t>p_att_anc</t>
        </is>
      </c>
    </row>
    <row r="33">
      <c r="A33" s="17" t="inlineStr">
        <is>
          <t>Implementation and programme reach</t>
        </is>
      </c>
      <c r="B33" s="17" t="inlineStr">
        <is>
          <t>Attendance at 6-month immunization contact</t>
        </is>
      </c>
      <c r="C33" s="17" t="inlineStr">
        <is>
          <t>Probability</t>
        </is>
      </c>
      <c r="D33" s="30" t="n">
        <v>0.8</v>
      </c>
      <c r="E33" s="29" t="inlineStr"/>
      <c r="F33" s="31">
        <f>IF(LEN(E33)=0,D33,E33)</f>
        <v/>
      </c>
      <c r="G33" s="17" t="n">
        <v>0.5</v>
      </c>
      <c r="H33" s="17" t="n">
        <v>0.95</v>
      </c>
      <c r="I33" s="17" t="inlineStr">
        <is>
          <t>Reflects DTP3-style immunization platform reach in many LMIC settings.</t>
        </is>
      </c>
      <c r="J33" s="17" t="inlineStr">
        <is>
          <t>UNICEF immunization statistics. [UNICEF](https://data.unicef.org/topic/child-health/immunization/)</t>
        </is>
      </c>
      <c r="K33" s="32" t="inlineStr">
        <is>
          <t>Good local input</t>
        </is>
      </c>
      <c r="L33" s="17" t="inlineStr">
        <is>
          <t>p_att_imm</t>
        </is>
      </c>
    </row>
    <row r="34">
      <c r="A34" s="17" t="inlineStr">
        <is>
          <t>Implementation and programme reach</t>
        </is>
      </c>
      <c r="B34" s="17" t="inlineStr">
        <is>
          <t>Institutional delivery contact</t>
        </is>
      </c>
      <c r="C34" s="17" t="inlineStr">
        <is>
          <t>Probability</t>
        </is>
      </c>
      <c r="D34" s="30" t="n">
        <v>0.65</v>
      </c>
      <c r="E34" s="29" t="inlineStr"/>
      <c r="F34" s="31">
        <f>IF(LEN(E34)=0,D34,E34)</f>
        <v/>
      </c>
      <c r="G34" s="17" t="n">
        <v>0.4</v>
      </c>
      <c r="H34" s="17" t="n">
        <v>0.85</v>
      </c>
      <c r="I34" s="17" t="inlineStr">
        <is>
          <t>Institutional delivery range retained as a reference contact parameter. Infant kohl now uses the combined facility-delivery-or-early-immunization contact below.</t>
        </is>
      </c>
      <c r="J34" s="17" t="inlineStr">
        <is>
          <t>UNICEF and DHS-style institutional delivery coverage context; program-design range.</t>
        </is>
      </c>
      <c r="K34" s="32" t="inlineStr">
        <is>
          <t>Good local input</t>
        </is>
      </c>
      <c r="L34" s="17" t="inlineStr">
        <is>
          <t>p_att_birth</t>
        </is>
      </c>
    </row>
    <row r="35">
      <c r="A35" s="17" t="inlineStr">
        <is>
          <t>Implementation and programme reach</t>
        </is>
      </c>
      <c r="B35" s="17" t="inlineStr">
        <is>
          <t>Infant kohl contact through facility delivery or early immunization</t>
        </is>
      </c>
      <c r="C35" s="17" t="inlineStr">
        <is>
          <t>Probability</t>
        </is>
      </c>
      <c r="D35" s="30" t="n">
        <v>0.8</v>
      </c>
      <c r="E35" s="29" t="inlineStr"/>
      <c r="F35" s="31">
        <f>IF(LEN(E35)=0,D35,E35)</f>
        <v/>
      </c>
      <c r="G35" s="17" t="n">
        <v>0.55</v>
      </c>
      <c r="H35" s="17" t="n">
        <v>0.95</v>
      </c>
      <c r="I35" s="17" t="inlineStr">
        <is>
          <t>Combined probability that an infant can be reached for safe kohl through either facility delivery or early immunization catch-up. The mode is a union of correlated contacts, not the sum of independent delivery and immunization probabilities.</t>
        </is>
      </c>
      <c r="J35" s="17" t="inlineStr">
        <is>
          <t>UNICEF institutional delivery and immunization coverage benchmarks; program-design assumption requiring local validation. [UNICEF delivery](https://data.unicef.org/topic/maternal-health/delivery-care/), [UNICEF immunization](https://data.unicef.org/topic/child-health/immunization/)</t>
        </is>
      </c>
      <c r="K35" s="32" t="inlineStr">
        <is>
          <t>Good local input</t>
        </is>
      </c>
      <c r="L35" s="17" t="inlineStr">
        <is>
          <t>p_att_infant_kohl_contact</t>
        </is>
      </c>
    </row>
    <row r="36">
      <c r="A36" s="17" t="inlineStr">
        <is>
          <t>Implementation and programme reach</t>
        </is>
      </c>
      <c r="B36" s="17" t="inlineStr">
        <is>
          <t>Health-system delivery fidelity</t>
        </is>
      </c>
      <c r="C36" s="17" t="inlineStr">
        <is>
          <t>Probability</t>
        </is>
      </c>
      <c r="D36" s="30" t="n">
        <v>0.6</v>
      </c>
      <c r="E36" s="29" t="inlineStr"/>
      <c r="F36" s="31">
        <f>IF(LEN(E36)=0,D36,E36)</f>
        <v/>
      </c>
      <c r="G36" s="17" t="n">
        <v>0.3</v>
      </c>
      <c r="H36" s="17" t="n">
        <v>0.8</v>
      </c>
      <c r="I36" s="17" t="inlineStr">
        <is>
          <t>Generic delivery fidelity for clinic-distributed components.</t>
        </is>
      </c>
      <c r="J36" s="17" t="inlineStr">
        <is>
          <t>Essential medicines availability literature and implementation synthesis; broader LMIC availability reviews. [PubMed](https://pubmed.ncbi.nlm.nih.gov/37340382/)</t>
        </is>
      </c>
      <c r="K36" s="32" t="inlineStr">
        <is>
          <t>Programme lever</t>
        </is>
      </c>
      <c r="L36" s="17" t="inlineStr">
        <is>
          <t>fidelity</t>
        </is>
      </c>
    </row>
    <row r="37">
      <c r="A37" s="17" t="inlineStr">
        <is>
          <t>Implementation and programme reach</t>
        </is>
      </c>
      <c r="B37" s="17" t="inlineStr">
        <is>
          <t>Complete substitution or adherence</t>
        </is>
      </c>
      <c r="C37" s="17" t="inlineStr">
        <is>
          <t>Probability</t>
        </is>
      </c>
      <c r="D37" s="30" t="n">
        <v>0.5</v>
      </c>
      <c r="E37" s="29" t="inlineStr"/>
      <c r="F37" s="31">
        <f>IF(LEN(E37)=0,D37,E37)</f>
        <v/>
      </c>
      <c r="G37" s="17" t="n">
        <v>0.3</v>
      </c>
      <c r="H37" s="17" t="n">
        <v>0.6</v>
      </c>
      <c r="I37" s="17" t="inlineStr">
        <is>
          <t>Complete use or substitution rate after receipt for non-pot components.</t>
        </is>
      </c>
      <c r="J37" s="17" t="inlineStr">
        <is>
          <t>Behavioral and implementation synthesis; program-design range.</t>
        </is>
      </c>
      <c r="K37" s="32" t="inlineStr">
        <is>
          <t>Programme lever</t>
        </is>
      </c>
      <c r="L37" s="17" t="inlineStr">
        <is>
          <t>adherence</t>
        </is>
      </c>
    </row>
    <row r="38">
      <c r="A38" s="17" t="inlineStr">
        <is>
          <t>Implementation and programme reach</t>
        </is>
      </c>
      <c r="B38" s="17" t="inlineStr">
        <is>
          <t>Pot voucher issued at ANC</t>
        </is>
      </c>
      <c r="C38" s="17" t="inlineStr">
        <is>
          <t>Probability</t>
        </is>
      </c>
      <c r="D38" s="30" t="n">
        <v>0.7</v>
      </c>
      <c r="E38" s="29" t="inlineStr"/>
      <c r="F38" s="31">
        <f>IF(LEN(E38)=0,D38,E38)</f>
        <v/>
      </c>
      <c r="G38" s="17" t="n">
        <v>0.4</v>
      </c>
      <c r="H38" s="17" t="n">
        <v>0.9</v>
      </c>
      <c r="I38" s="17" t="inlineStr">
        <is>
          <t>Probability eligible ANC attendee actually receives pot voucher.</t>
        </is>
      </c>
      <c r="J38" s="17" t="inlineStr">
        <is>
          <t>Voucher-program implementation assumption informed by health subsidy distribution literature.</t>
        </is>
      </c>
      <c r="K38" s="32" t="inlineStr">
        <is>
          <t>Programme lever</t>
        </is>
      </c>
      <c r="L38" s="17" t="inlineStr">
        <is>
          <t>p_voucher_issued</t>
        </is>
      </c>
    </row>
    <row r="39">
      <c r="A39" s="17" t="inlineStr">
        <is>
          <t>Implementation and programme reach</t>
        </is>
      </c>
      <c r="B39" s="17" t="inlineStr">
        <is>
          <t>Approved merchant has safe pot in stock</t>
        </is>
      </c>
      <c r="C39" s="17" t="inlineStr">
        <is>
          <t>Probability</t>
        </is>
      </c>
      <c r="D39" s="30" t="n">
        <v>0.8</v>
      </c>
      <c r="E39" s="29" t="inlineStr"/>
      <c r="F39" s="31">
        <f>IF(LEN(E39)=0,D39,E39)</f>
        <v/>
      </c>
      <c r="G39" s="17" t="n">
        <v>0.6</v>
      </c>
      <c r="H39" s="17" t="n">
        <v>0.95</v>
      </c>
      <c r="I39" s="17" t="inlineStr">
        <is>
          <t>Probability approved merchant has stock when voucher holder presents. The higher values reflect active contracting with approved retailers rather than passive clinic stock alone.</t>
        </is>
      </c>
      <c r="J39" s="17" t="inlineStr">
        <is>
          <t>Supply chain and medicines availability literature; implementation assumption.</t>
        </is>
      </c>
      <c r="K39" s="32" t="inlineStr">
        <is>
          <t>Programme lever</t>
        </is>
      </c>
      <c r="L39" s="17" t="inlineStr">
        <is>
          <t>p_merchant_stock</t>
        </is>
      </c>
    </row>
    <row r="40">
      <c r="A40" s="17" t="inlineStr">
        <is>
          <t>Implementation and programme reach</t>
        </is>
      </c>
      <c r="B40" s="17" t="inlineStr">
        <is>
          <t>Pot voucher redeemed</t>
        </is>
      </c>
      <c r="C40" s="17" t="inlineStr">
        <is>
          <t>Probability</t>
        </is>
      </c>
      <c r="D40" s="30" t="n">
        <v>0.75</v>
      </c>
      <c r="E40" s="29" t="inlineStr"/>
      <c r="F40" s="31">
        <f>IF(LEN(E40)=0,D40,E40)</f>
        <v/>
      </c>
      <c r="G40" s="17" t="n">
        <v>0.6</v>
      </c>
      <c r="H40" s="17" t="n">
        <v>0.9</v>
      </c>
      <c r="I40" s="17" t="inlineStr">
        <is>
          <t>Voucher redemption for a high-value durable household product.</t>
        </is>
      </c>
      <c r="J40" s="17" t="inlineStr">
        <is>
          <t>Dupas et al. (2016) and related subsidy redemption evidence; values are higher than low-value preventive products because pots are useful durable goods. [PubMed](https://pubmed.ncbi.nlm.nih.gov/27563091/)</t>
        </is>
      </c>
      <c r="K40" s="32" t="inlineStr">
        <is>
          <t>Programme lever</t>
        </is>
      </c>
      <c r="L40" s="17" t="inlineStr">
        <is>
          <t>p_redeem</t>
        </is>
      </c>
    </row>
    <row r="41">
      <c r="A41" s="17" t="inlineStr">
        <is>
          <t>Implementation and programme reach</t>
        </is>
      </c>
      <c r="B41" s="17" t="inlineStr">
        <is>
          <t>Redeemed pot used for pregnant woman or young child</t>
        </is>
      </c>
      <c r="C41" s="17" t="inlineStr">
        <is>
          <t>Probability</t>
        </is>
      </c>
      <c r="D41" s="30" t="n">
        <v>0.9</v>
      </c>
      <c r="E41" s="29" t="inlineStr"/>
      <c r="F41" s="31">
        <f>IF(LEN(E41)=0,D41,E41)</f>
        <v/>
      </c>
      <c r="G41" s="17" t="n">
        <v>0.75</v>
      </c>
      <c r="H41" s="17" t="n">
        <v>0.98</v>
      </c>
      <c r="I41" s="17" t="inlineStr">
        <is>
          <t>Conditional use after redemption should be high because redemption is effortful and self-targeting.</t>
        </is>
      </c>
      <c r="J41" s="17" t="inlineStr">
        <is>
          <t>Anchored in the self-selection logic of voucher uptake rather than a direct product-specific pot trial; see Dupas et al. (2016). [PMC](https://pmc.ncbi.nlm.nih.gov/articles/PMC5003414/)</t>
        </is>
      </c>
      <c r="K41" s="32" t="inlineStr">
        <is>
          <t>Programme lever</t>
        </is>
      </c>
      <c r="L41" s="17" t="inlineStr">
        <is>
          <t>p_use_targeted_after_redemption</t>
        </is>
      </c>
    </row>
    <row r="42">
      <c r="A42" s="17" t="inlineStr">
        <is>
          <t>Implementation and programme reach</t>
        </is>
      </c>
      <c r="B42" s="17" t="inlineStr">
        <is>
          <t>Residual harm from continued unsafe pot use</t>
        </is>
      </c>
      <c r="C42" s="17" t="inlineStr">
        <is>
          <t>Share of pot benefit lost</t>
        </is>
      </c>
      <c r="D42" s="30" t="n">
        <v>0.15</v>
      </c>
      <c r="E42" s="29" t="inlineStr"/>
      <c r="F42" s="31">
        <f>IF(LEN(E42)=0,D42,E42)</f>
        <v/>
      </c>
      <c r="G42" s="17" t="n">
        <v>0.05</v>
      </c>
      <c r="H42" s="17" t="n">
        <v>0.35</v>
      </c>
      <c r="I42" s="17" t="inlineStr">
        <is>
          <t>Allows for continued unsafe pot use even after redemption.</t>
        </is>
      </c>
      <c r="J42" s="17" t="inlineStr">
        <is>
          <t>Program-design assumption representing partial switching or stacking.</t>
        </is>
      </c>
      <c r="K42" s="32" t="inlineStr">
        <is>
          <t>Programme lever</t>
        </is>
      </c>
      <c r="L42" s="17" t="inlineStr">
        <is>
          <t>residual_unsafe_use_harm</t>
        </is>
      </c>
    </row>
    <row r="43">
      <c r="A43" s="28" t="inlineStr">
        <is>
          <t>Product-specific BLL effect sizes</t>
        </is>
      </c>
      <c r="B43" s="17" t="n"/>
      <c r="C43" s="17" t="n"/>
      <c r="D43" s="17" t="n"/>
      <c r="E43" s="29" t="n"/>
      <c r="F43" s="17" t="n"/>
      <c r="G43" s="17" t="n"/>
      <c r="H43" s="17" t="n"/>
      <c r="I43" s="17" t="n"/>
      <c r="J43" s="17" t="n"/>
      <c r="K43" s="17" t="n"/>
      <c r="L43" s="17" t="n"/>
    </row>
    <row r="44">
      <c r="A44" s="17" t="inlineStr">
        <is>
          <t>Product-specific BLL effect sizes</t>
        </is>
      </c>
      <c r="B44" s="17" t="inlineStr">
        <is>
          <t>Child BLL reduction from full switch to safe pot</t>
        </is>
      </c>
      <c r="C44" s="17" t="inlineStr">
        <is>
          <t>ug/dL during active use</t>
        </is>
      </c>
      <c r="D44" s="30" t="n">
        <v>4</v>
      </c>
      <c r="E44" s="29" t="inlineStr"/>
      <c r="F44" s="31">
        <f>IF(LEN(E44)=0,D44,E44)</f>
        <v/>
      </c>
      <c r="G44" s="17" t="n">
        <v>1</v>
      </c>
      <c r="H44" s="17" t="n">
        <v>10</v>
      </c>
      <c r="I44" s="17" t="inlineStr">
        <is>
          <t>Intended as the postnatal child BLL reduction during active use among households that fully switch from hazardous cookware to the safe replacement for the target child. It explicitly excludes any prenatal child benefit from lower maternal lead, which is modeled separately through `fetal_transfer_coeff`. The mode is kept at `5` because the broader kitchen-source literature suggests that unsafe cookware can be an important exposure source in hotspot settings, but the range remains wide because the direct intervention literature is weaker for recycled-metal cookware than for lead-glazed pottery.</t>
        </is>
      </c>
      <c r="J44" s="17" t="inlineStr">
        <is>
          <t>Two literatures inform this parameter. First, lead-glazed pottery and ceramic foodware in Mexico are strongly associated with elevated child BLLs, including large differences in the prevalence of BLLs above `5 ug/dL` between frequent users and non-users. Second, studies of artisanal aluminum cookware show that some mixed-scrap pots can leach large amounts of lead into food, establishing biological plausibility for sizeable reductions after replacement, even though clean before-after BLL intervention estimates remain sparse. Key anchors are Rojas-Lopez et al. (1994); Romieu et al. (1994); Pure Earth/INSP summaries on lead-glazed pottery; Weidenhamer et al. (2014, 2022); and Fellows et al. (2025).</t>
        </is>
      </c>
      <c r="K44" s="33" t="inlineStr">
        <is>
          <t>Change cautiously</t>
        </is>
      </c>
      <c r="L44" s="17" t="inlineStr">
        <is>
          <t>bll_pot_child</t>
        </is>
      </c>
    </row>
    <row r="45">
      <c r="A45" s="17" t="inlineStr">
        <is>
          <t>Product-specific BLL effect sizes</t>
        </is>
      </c>
      <c r="B45" s="17" t="inlineStr">
        <is>
          <t>Mother BLL reduction from full switch to safe pot</t>
        </is>
      </c>
      <c r="C45" s="17" t="inlineStr">
        <is>
          <t>ug/dL during active use</t>
        </is>
      </c>
      <c r="D45" s="30" t="n">
        <v>2</v>
      </c>
      <c r="E45" s="29" t="inlineStr"/>
      <c r="F45" s="31">
        <f>IF(LEN(E45)=0,D45,E45)</f>
        <v/>
      </c>
      <c r="G45" s="17" t="n">
        <v>0.5</v>
      </c>
      <c r="H45" s="17" t="n">
        <v>5</v>
      </c>
      <c r="I45" s="17" t="inlineStr">
        <is>
          <t>Maternal BLL reduction from safer cookware, smaller in the mode than the child effect because maternal intake is less concentrated on child-feeding pathways and because adult exposure is more diffuse.</t>
        </is>
      </c>
      <c r="J45" s="17" t="inlineStr">
        <is>
          <t>Structural extension from cookware literature. The same source evidence that motivates the child cookware parameter implies maternal benefit when pregnant or nursing women also consume food prepared in the unsafe pot, but the adult effect is likely smaller on average than the child effect because the child pathway is more concentrated and includes toddler feeding. The mode is therefore lower than `bll_pot_child`, while the range remains wide.</t>
        </is>
      </c>
      <c r="K45" s="33" t="inlineStr">
        <is>
          <t>Change cautiously</t>
        </is>
      </c>
      <c r="L45" s="17" t="inlineStr">
        <is>
          <t>bll_pot_mother</t>
        </is>
      </c>
    </row>
    <row r="46">
      <c r="A46" s="17" t="inlineStr">
        <is>
          <t>Product-specific BLL effect sizes</t>
        </is>
      </c>
      <c r="B46" s="17" t="inlineStr">
        <is>
          <t>Child BLL reduction from full switch to safe feeding utensils</t>
        </is>
      </c>
      <c r="C46" s="17" t="inlineStr">
        <is>
          <t>ug/dL during active use</t>
        </is>
      </c>
      <c r="D46" s="30" t="n">
        <v>2</v>
      </c>
      <c r="E46" s="29" t="inlineStr"/>
      <c r="F46" s="31">
        <f>IF(LEN(E46)=0,D46,E46)</f>
        <v/>
      </c>
      <c r="G46" s="17" t="n">
        <v>0.5</v>
      </c>
      <c r="H46" s="17" t="n">
        <v>6</v>
      </c>
      <c r="I46" s="17" t="inlineStr">
        <is>
          <t>Child BLL reduction from replacing contaminated child utensils or feeding vessels during active use.</t>
        </is>
      </c>
      <c r="J46" s="17" t="inlineStr">
        <is>
          <t>Lead-glazed food-contact studies support the pathway, but the exact effect remains an informed extrapolation. Romieu et al. (1994) linked ceramic ware use to elevated child BLLs in Mexico, and related ceramic exposure reports show that food-contact ceramics can contribute materially to ingestion. The mode is lower than the pot mode because utensils affect a narrower portion of food preparation and feeding, even though once caregivers obtain an attractive safe cup or spoon, routine use may be high. The main uncertainty is therefore the size of the exposure pathway and whether unsafe items continue to be used alongside the safer replacement.</t>
        </is>
      </c>
      <c r="K46" s="33" t="inlineStr">
        <is>
          <t>Change cautiously</t>
        </is>
      </c>
      <c r="L46" s="17" t="inlineStr">
        <is>
          <t>bll_mug_child</t>
        </is>
      </c>
    </row>
    <row r="47">
      <c r="A47" s="17" t="inlineStr">
        <is>
          <t>Product-specific BLL effect sizes</t>
        </is>
      </c>
      <c r="B47" s="17" t="inlineStr">
        <is>
          <t>Mother BLL reduction from calcium</t>
        </is>
      </c>
      <c r="C47" s="17" t="inlineStr">
        <is>
          <t>ug/dL during active use</t>
        </is>
      </c>
      <c r="D47" s="30" t="n">
        <v>1.2</v>
      </c>
      <c r="E47" s="29" t="inlineStr"/>
      <c r="F47" s="31">
        <f>IF(LEN(E47)=0,D47,E47)</f>
        <v/>
      </c>
      <c r="G47" s="17" t="n">
        <v>0.5</v>
      </c>
      <c r="H47" s="17" t="n">
        <v>2</v>
      </c>
      <c r="I47" s="17" t="inlineStr">
        <is>
          <t>Maternal BLL reduction from calcium during pregnancy.</t>
        </is>
      </c>
      <c r="J47" s="17" t="inlineStr">
        <is>
          <t>Ettinger et al. (2009) provides the strongest causal anchor in the model: a randomized trial showing lower maternal BLL with calcium supplementation in pregnancy, with larger effects among more compliant women and among women with higher bone-lead burden. The mode remains `1.2` because it is already closely tied to the trial evidence. The main implementation uncertainty lies not in biological efficacy once consumed, but in adherence to the intended supplementation course. [PubMed](https://pubmed.ncbi.nlm.nih.gov/19165383/)</t>
        </is>
      </c>
      <c r="K47" s="33" t="inlineStr">
        <is>
          <t>Change cautiously</t>
        </is>
      </c>
      <c r="L47" s="17" t="inlineStr">
        <is>
          <t>bll_calc_mother</t>
        </is>
      </c>
    </row>
    <row r="48">
      <c r="A48" s="17" t="inlineStr">
        <is>
          <t>Product-specific BLL effect sizes</t>
        </is>
      </c>
      <c r="B48" s="17" t="inlineStr">
        <is>
          <t>Mother BLL reduction from safe maternal kohl</t>
        </is>
      </c>
      <c r="C48" s="17" t="inlineStr">
        <is>
          <t>ug/dL during active use</t>
        </is>
      </c>
      <c r="D48" s="30" t="n">
        <v>2</v>
      </c>
      <c r="E48" s="29" t="inlineStr"/>
      <c r="F48" s="31">
        <f>IF(LEN(E48)=0,D48,E48)</f>
        <v/>
      </c>
      <c r="G48" s="17" t="n">
        <v>0.5</v>
      </c>
      <c r="H48" s="17" t="n">
        <v>5</v>
      </c>
      <c r="I48" s="17" t="inlineStr">
        <is>
          <t>Maternal BLL reduction from switching to lead-free kohl. The widened range reflects that most underlying studies compare users and non-users rather than directly estimating maternal change after replacement.</t>
        </is>
      </c>
      <c r="J48" s="17" t="inlineStr">
        <is>
          <t>Kohl exposure studies and review literature imply a moderate maternal effect but leave wide uncertainty around the causal change from substitution. The mode is lower than the child kohl mode because adult use is often less frequent or less ingestive than infant hand-to-mouth exposure, but it is high enough to reflect studies linking maternal traditional eye-cosmetic use to elevated maternal and cord blood lead. Practical adherence is culturally contingent: some households may welcome a visibly safer substitute, while others may continue to trust traditional galena-based kohl. See Sadeq et al. (2021); Janjua et al. (2008); Hore et al. (2024); and related traditional cosmetic exposure studies.</t>
        </is>
      </c>
      <c r="K48" s="33" t="inlineStr">
        <is>
          <t>Change cautiously</t>
        </is>
      </c>
      <c r="L48" s="17" t="inlineStr">
        <is>
          <t>bll_maternal_kohl_mother</t>
        </is>
      </c>
    </row>
    <row r="49">
      <c r="A49" s="17" t="inlineStr">
        <is>
          <t>Product-specific BLL effect sizes</t>
        </is>
      </c>
      <c r="B49" s="17" t="inlineStr">
        <is>
          <t>Child BLL reduction from safe infant kohl</t>
        </is>
      </c>
      <c r="C49" s="17" t="inlineStr">
        <is>
          <t>ug/dL during active use</t>
        </is>
      </c>
      <c r="D49" s="30" t="n">
        <v>5</v>
      </c>
      <c r="E49" s="29" t="inlineStr"/>
      <c r="F49" s="31">
        <f>IF(LEN(E49)=0,D49,E49)</f>
        <v/>
      </c>
      <c r="G49" s="17" t="n">
        <v>1.5</v>
      </c>
      <c r="H49" s="17" t="n">
        <v>10</v>
      </c>
      <c r="I49" s="17" t="inlineStr">
        <is>
          <t>Child BLL reduction from replacing leaded infant kohl with a safe alternative during active use.</t>
        </is>
      </c>
      <c r="J49" s="17" t="inlineStr">
        <is>
          <t>The literature here is more direct than for most other product-specific pathways. Kohl-use meta-analysis, user-non-user studies, and case series after cessation all suggest that leaded kohl can contribute several `ug/dL` to child BLL in exposed infants and young children. The mode of `5` is therefore retained. At the same time, realized benefit depends heavily on culture and household authority: mothers may want a safer substitute, while some grandmothers or older caregivers may consider traditional galena kohl especially protective or authentic. That cultural uncertainty belongs more in the adherence parameter than in the biological mode, so the BLL mode is kept while the implementation chain absorbs uncertainty about switching. Sadeq et al. (2021); Nir et al. (1992); Keosaian et al. (2019); CDC/NMDOH (2013); Hore et al. (2024). [Meta-analysis](https://www.one-health.panafrican-med-journal.com/content/article/4/17/full), [Keosaian](https://journals.sagepub.com/doi/abs/10.1177/2164956119870988), [CDC/NMDOH](https://www.cdc.gov/mmwr/preview/mmwrhtml/mm6246a3.htm), [Hore et al.](https://pubmed.ncbi.nlm.nih.gov/39352031/)</t>
        </is>
      </c>
      <c r="K49" s="33" t="inlineStr">
        <is>
          <t>Change cautiously</t>
        </is>
      </c>
      <c r="L49" s="17" t="inlineStr">
        <is>
          <t>bll_infant_kohl_child</t>
        </is>
      </c>
    </row>
    <row r="50">
      <c r="A50" s="34" t="inlineStr">
        <is>
          <t>Scientific and valuation parameters</t>
        </is>
      </c>
      <c r="B50" s="17" t="n"/>
      <c r="C50" s="17" t="n"/>
      <c r="D50" s="17" t="n"/>
      <c r="E50" s="29" t="n"/>
      <c r="F50" s="17" t="n"/>
      <c r="G50" s="17" t="n"/>
      <c r="H50" s="17" t="n"/>
      <c r="I50" s="17" t="n"/>
      <c r="J50" s="17" t="n"/>
      <c r="K50" s="17" t="n"/>
      <c r="L50" s="17" t="n"/>
    </row>
    <row r="51">
      <c r="A51" s="17" t="inlineStr">
        <is>
          <t>Scientific and valuation parameters</t>
        </is>
      </c>
      <c r="B51" s="17" t="inlineStr">
        <is>
          <t>IQ gain per 1 ug/dL lower developmental blood lead</t>
        </is>
      </c>
      <c r="C51" s="17" t="inlineStr">
        <is>
          <t>IQ points per ug/dL</t>
        </is>
      </c>
      <c r="D51" s="30" t="n">
        <v>0.35</v>
      </c>
      <c r="E51" s="29" t="inlineStr"/>
      <c r="F51" s="31">
        <f>IF(LEN(E51)=0,D51,E51)</f>
        <v/>
      </c>
      <c r="G51" s="17" t="n">
        <v>0.2</v>
      </c>
      <c r="H51" s="17" t="n">
        <v>0.6</v>
      </c>
      <c r="I51" s="17" t="inlineStr">
        <is>
          <t>Linear approximation to the relationship between developmentally averaged child BLL and cognition. The widened range reflects both the low-level nonlinearity in the cohort literature and the fact that this model translates shorter exposure changes into an average over a longer developmental window.</t>
        </is>
      </c>
      <c r="J51" s="17" t="inlineStr">
        <is>
          <t>Canfield et al. (2003); Lanphear et al. (2005); Jusko et al. (2008); Schnaas et al. (2006); Crawfurd et al. (2025). [Canfield](https://pubmed.ncbi.nlm.nih.gov/12700371/), [Lanphear](https://pubmed.ncbi.nlm.nih.gov/16002379/), [Jusko](https://pubmed.ncbi.nlm.nih.gov/18288325/), [Schnaas](https://pubmed.ncbi.nlm.nih.gov/16675422/), [Crawfurd et al.](https://academic.oup.com/wbro/article/40/2/229/7734093)</t>
        </is>
      </c>
      <c r="K51" s="33" t="inlineStr">
        <is>
          <t>Change cautiously</t>
        </is>
      </c>
      <c r="L51" s="17" t="inlineStr">
        <is>
          <t>iq_per_bll</t>
        </is>
      </c>
    </row>
    <row r="52">
      <c r="A52" s="17" t="inlineStr">
        <is>
          <t>Scientific and valuation parameters</t>
        </is>
      </c>
      <c r="B52" s="17" t="inlineStr">
        <is>
          <t>Earnings gain per IQ point</t>
        </is>
      </c>
      <c r="C52" s="17" t="inlineStr">
        <is>
          <t>Share of earnings</t>
        </is>
      </c>
      <c r="D52" s="30" t="n">
        <v>0.005</v>
      </c>
      <c r="E52" s="29" t="inlineStr"/>
      <c r="F52" s="31">
        <f>IF(LEN(E52)=0,D52,E52)</f>
        <v/>
      </c>
      <c r="G52" s="17" t="n">
        <v>0.003</v>
      </c>
      <c r="H52" s="17" t="n">
        <v>0.01</v>
      </c>
      <c r="I52" s="17" t="inlineStr">
        <is>
          <t>Percent earnings gain per IQ point. The minimum reflects the LMIC cognition-to-wage evidence after allowing for labor-market friction; the mode uses the lower end of the lead valuation range; the maximum aligns with developing-country cognitive-skill estimates while avoiding larger high-income-country values.</t>
        </is>
      </c>
      <c r="J52" s="17" t="inlineStr">
        <is>
          <t>Ozawa et al. (2022); Grosse et al. (2002); Hanushek and Woessmann (2008). [Ozawa](https://pubmed.ncbi.nlm.nih.gov/34980939/), [Grosse et al.](https://hero.epa.gov/reference/25727/)</t>
        </is>
      </c>
      <c r="K52" s="33" t="inlineStr">
        <is>
          <t>Change cautiously</t>
        </is>
      </c>
      <c r="L52" s="17" t="inlineStr">
        <is>
          <t>earn_per_iq</t>
        </is>
      </c>
    </row>
    <row r="53">
      <c r="A53" s="17" t="inlineStr">
        <is>
          <t>Scientific and valuation parameters</t>
        </is>
      </c>
      <c r="B53" s="17" t="inlineStr">
        <is>
          <t>Maternal-to-fetal lead reduction transfer</t>
        </is>
      </c>
      <c r="C53" s="17" t="inlineStr">
        <is>
          <t>Share</t>
        </is>
      </c>
      <c r="D53" s="30" t="n">
        <v>0.8</v>
      </c>
      <c r="E53" s="29" t="inlineStr"/>
      <c r="F53" s="31">
        <f>IF(LEN(E53)=0,D53,E53)</f>
        <v/>
      </c>
      <c r="G53" s="17" t="n">
        <v>0.7</v>
      </c>
      <c r="H53" s="17" t="n">
        <v>0.95</v>
      </c>
      <c r="I53" s="17" t="inlineStr">
        <is>
          <t>Fraction of maternal lead reduction during pregnancy transmitted to fetal lead reduction.</t>
        </is>
      </c>
      <c r="J53" s="17" t="inlineStr">
        <is>
          <t>WHO (2024) on maternal bone lead mobilization and fetal exposure; Ettinger et al. (2009) on lowering maternal BLL during pregnancy; Al-Jawadi et al. (2009) and related maternal-cord evidence on placental transfer. [WHO](https://www.who.int/news-room/fact-sheets/detail/lead-poisoning-and-health), [Ettinger](https://pubmed.ncbi.nlm.nih.gov/19165383/), [Al-Jawadi et al.](https://doi.org/10.1186/1756-0500-2-47)</t>
        </is>
      </c>
      <c r="K53" s="33" t="inlineStr">
        <is>
          <t>Change cautiously</t>
        </is>
      </c>
      <c r="L53" s="17" t="inlineStr">
        <is>
          <t>fetal_transfer_coeff</t>
        </is>
      </c>
    </row>
    <row r="54">
      <c r="A54" s="17" t="inlineStr">
        <is>
          <t>Scientific and valuation parameters</t>
        </is>
      </c>
      <c r="B54" s="17" t="inlineStr">
        <is>
          <t>Share of cognitive harm in last four months in utero</t>
        </is>
      </c>
      <c r="C54" s="17" t="inlineStr">
        <is>
          <t>Share</t>
        </is>
      </c>
      <c r="D54" s="30" t="n">
        <v>0.3</v>
      </c>
      <c r="E54" s="29" t="inlineStr"/>
      <c r="F54" s="31">
        <f>IF(LEN(E54)=0,D54,E54)</f>
        <v/>
      </c>
      <c r="G54" s="17" t="n">
        <v>0.2</v>
      </c>
      <c r="H54" s="17" t="n">
        <v>0.4</v>
      </c>
      <c r="I54" s="17" t="inlineStr">
        <is>
          <t>Share of developmental cognitive harm attributed to the last four months in utero.</t>
        </is>
      </c>
      <c r="J54" s="17" t="inlineStr">
        <is>
          <t>Structural timing parameter informed by prenatal lead and neurodevelopment evidence suggesting substantial prenatal sensitivity but not exclusive prenatal determination. See Schnaas et al. (2006), Kim et al. (2013), and Bellinger et al. (1987).</t>
        </is>
      </c>
      <c r="K54" s="33" t="inlineStr">
        <is>
          <t>Change cautiously</t>
        </is>
      </c>
      <c r="L54" s="17" t="inlineStr">
        <is>
          <t>share_prenatal_last4m</t>
        </is>
      </c>
    </row>
    <row r="55">
      <c r="A55" s="17" t="inlineStr">
        <is>
          <t>Scientific and valuation parameters</t>
        </is>
      </c>
      <c r="B55" s="17" t="inlineStr">
        <is>
          <t>Share of cognitive harm in year 1</t>
        </is>
      </c>
      <c r="C55" s="17" t="inlineStr">
        <is>
          <t>Share</t>
        </is>
      </c>
      <c r="D55" s="30" t="n">
        <v>0.3</v>
      </c>
      <c r="E55" s="29" t="inlineStr"/>
      <c r="F55" s="31">
        <f>IF(LEN(E55)=0,D55,E55)</f>
        <v/>
      </c>
      <c r="G55" s="17" t="n">
        <v>0.2</v>
      </c>
      <c r="H55" s="17" t="n">
        <v>0.4</v>
      </c>
      <c r="I55" s="17" t="inlineStr">
        <is>
          <t>Share of developmental cognitive harm attributed to the first year of life.</t>
        </is>
      </c>
      <c r="J55" s="17" t="inlineStr">
        <is>
          <t>Structural timing parameter informed by infancy and early-childhood lead evidence. The residual share is assigned to ages 2 to 5 so that the three shares sum to one. See Jusko et al. (2008), Bellinger et al. (1987), and Lanphear et al. (2005).</t>
        </is>
      </c>
      <c r="K55" s="33" t="inlineStr">
        <is>
          <t>Change cautiously</t>
        </is>
      </c>
      <c r="L55" s="17" t="inlineStr">
        <is>
          <t>share_year1</t>
        </is>
      </c>
    </row>
    <row r="56">
      <c r="A56" s="28" t="inlineStr">
        <is>
          <t>Secondary health parameters</t>
        </is>
      </c>
      <c r="B56" s="17" t="n"/>
      <c r="C56" s="17" t="n"/>
      <c r="D56" s="17" t="n"/>
      <c r="E56" s="29" t="n"/>
      <c r="F56" s="17" t="n"/>
      <c r="G56" s="17" t="n"/>
      <c r="H56" s="17" t="n"/>
      <c r="I56" s="17" t="n"/>
      <c r="J56" s="17" t="n"/>
      <c r="K56" s="17" t="n"/>
      <c r="L56" s="17" t="n"/>
    </row>
    <row r="57">
      <c r="A57" s="17" t="inlineStr">
        <is>
          <t>Secondary health parameters</t>
        </is>
      </c>
      <c r="B57" s="17" t="inlineStr">
        <is>
          <t>Baseline preeclampsia prevalence</t>
        </is>
      </c>
      <c r="C57" s="17" t="inlineStr">
        <is>
          <t>Probability</t>
        </is>
      </c>
      <c r="D57" s="30" t="n">
        <v>0.04</v>
      </c>
      <c r="E57" s="29" t="inlineStr"/>
      <c r="F57" s="31">
        <f>IF(LEN(E57)=0,D57,E57)</f>
        <v/>
      </c>
      <c r="G57" s="17" t="n">
        <v>0.02</v>
      </c>
      <c r="H57" s="17" t="n">
        <v>0.06</v>
      </c>
      <c r="I57" s="17" t="inlineStr">
        <is>
          <t>Plausible baseline prevalence range in LMIC settings.</t>
        </is>
      </c>
      <c r="J57" s="17" t="inlineStr">
        <is>
          <t>WHO maternal health guidance and obstetric epidemiology context; range chosen for policy modeling.</t>
        </is>
      </c>
      <c r="K57" s="17" t="inlineStr">
        <is>
          <t>Good local input if available</t>
        </is>
      </c>
      <c r="L57" s="17" t="inlineStr">
        <is>
          <t>preeclampsia_base_prev</t>
        </is>
      </c>
    </row>
    <row r="58">
      <c r="A58" s="17" t="inlineStr">
        <is>
          <t>Secondary health parameters</t>
        </is>
      </c>
      <c r="B58" s="17" t="inlineStr">
        <is>
          <t>Preeclampsia odds ratio per 1 ug/dL lead</t>
        </is>
      </c>
      <c r="C58" s="17" t="inlineStr">
        <is>
          <t>Odds ratio</t>
        </is>
      </c>
      <c r="D58" s="30" t="n">
        <v>1.018</v>
      </c>
      <c r="E58" s="29" t="inlineStr"/>
      <c r="F58" s="31">
        <f>IF(LEN(E58)=0,D58,E58)</f>
        <v/>
      </c>
      <c r="G58" s="17" t="n">
        <v>1.016</v>
      </c>
      <c r="H58" s="17" t="n">
        <v>1.02</v>
      </c>
      <c r="I58" s="17" t="inlineStr">
        <is>
          <t>Per-`1 ug/dL` increase in lead and preeclampsia risk.</t>
        </is>
      </c>
      <c r="J58" s="17" t="inlineStr">
        <is>
          <t>Poropat et al. (2018). [PubMed](https://pubmed.ncbi.nlm.nih.gov/28938191/)</t>
        </is>
      </c>
      <c r="K58" s="33" t="inlineStr">
        <is>
          <t>Change cautiously</t>
        </is>
      </c>
      <c r="L58" s="17" t="inlineStr">
        <is>
          <t>preeclampsia_or</t>
        </is>
      </c>
    </row>
    <row r="59">
      <c r="A59" s="17" t="inlineStr">
        <is>
          <t>Secondary health parameters</t>
        </is>
      </c>
      <c r="B59" s="17" t="inlineStr">
        <is>
          <t>Baseline preterm birth prevalence</t>
        </is>
      </c>
      <c r="C59" s="17" t="inlineStr">
        <is>
          <t>Probability</t>
        </is>
      </c>
      <c r="D59" s="30" t="n">
        <v>0.12</v>
      </c>
      <c r="E59" s="29" t="inlineStr"/>
      <c r="F59" s="31">
        <f>IF(LEN(E59)=0,D59,E59)</f>
        <v/>
      </c>
      <c r="G59" s="17" t="n">
        <v>0.08</v>
      </c>
      <c r="H59" s="17" t="n">
        <v>0.15</v>
      </c>
      <c r="I59" s="17" t="inlineStr">
        <is>
          <t>Baseline preterm prevalence.</t>
        </is>
      </c>
      <c r="J59" s="17" t="inlineStr">
        <is>
          <t>WHO estimates 4% to 16% across countries. [WHO](https://www.who.int/news-room/fact-sheets/detail/preterm-birth)</t>
        </is>
      </c>
      <c r="K59" s="17" t="inlineStr">
        <is>
          <t>Good local input if available</t>
        </is>
      </c>
      <c r="L59" s="17" t="inlineStr">
        <is>
          <t>preterm_base_prev</t>
        </is>
      </c>
    </row>
    <row r="60">
      <c r="A60" s="17" t="inlineStr">
        <is>
          <t>Secondary health parameters</t>
        </is>
      </c>
      <c r="B60" s="17" t="inlineStr">
        <is>
          <t>Preterm birth odds ratio per 1 ug/dL lead</t>
        </is>
      </c>
      <c r="C60" s="17" t="inlineStr">
        <is>
          <t>Odds ratio</t>
        </is>
      </c>
      <c r="D60" s="30" t="n">
        <v>1.025</v>
      </c>
      <c r="E60" s="29" t="inlineStr"/>
      <c r="F60" s="31">
        <f>IF(LEN(E60)=0,D60,E60)</f>
        <v/>
      </c>
      <c r="G60" s="17" t="n">
        <v>1.02</v>
      </c>
      <c r="H60" s="17" t="n">
        <v>1.03</v>
      </c>
      <c r="I60" s="17" t="inlineStr">
        <is>
          <t>Per-`1 ug/dL` increase in prenatal lead and preterm risk.</t>
        </is>
      </c>
      <c r="J60" s="17" t="inlineStr">
        <is>
          <t>Systematic review and meta-analysis evidence on maternal lead and preterm birth; Habibian et al. (2022), supplemented by broader prenatal lead and birth-outcome evidence. [PubMed](https://pubmed.ncbi.nlm.nih.gov/34210236/)</t>
        </is>
      </c>
      <c r="K60" s="33" t="inlineStr">
        <is>
          <t>Change cautiously</t>
        </is>
      </c>
      <c r="L60" s="17" t="inlineStr">
        <is>
          <t>preterm_or</t>
        </is>
      </c>
    </row>
    <row r="61">
      <c r="A61" s="17" t="inlineStr">
        <is>
          <t>Secondary health parameters</t>
        </is>
      </c>
      <c r="B61" s="17" t="inlineStr">
        <is>
          <t>Pregnancy timing adjustment for preeclampsia pathway</t>
        </is>
      </c>
      <c r="C61" s="17" t="inlineStr">
        <is>
          <t>Share</t>
        </is>
      </c>
      <c r="D61" s="30" t="n">
        <v>0.75</v>
      </c>
      <c r="E61" s="29" t="inlineStr"/>
      <c r="F61" s="31">
        <f>IF(LEN(E61)=0,D61,E61)</f>
        <v/>
      </c>
      <c r="G61" s="17" t="n">
        <v>0.5</v>
      </c>
      <c r="H61" s="17" t="n">
        <v>1</v>
      </c>
      <c r="I61" s="17" t="inlineStr">
        <is>
          <t>Share of the full maternal BLL reduction treated as relevant to preeclampsia when the intervention begins around mid-pregnancy.</t>
        </is>
      </c>
      <c r="J61" s="17" t="inlineStr">
        <is>
          <t>Structural timing parameter. Clinical disease onset after 20 weeks suggests later pregnancy matters more than a simple share of total pregnancy, but timing-specific lead estimates are limited; the wide range reflects that uncertainty.</t>
        </is>
      </c>
      <c r="K61" s="33" t="inlineStr">
        <is>
          <t>Change cautiously</t>
        </is>
      </c>
      <c r="L61" s="17" t="inlineStr">
        <is>
          <t>preeclampsia_timing_mult</t>
        </is>
      </c>
    </row>
    <row r="62">
      <c r="A62" s="17" t="inlineStr">
        <is>
          <t>Secondary health parameters</t>
        </is>
      </c>
      <c r="B62" s="17" t="inlineStr">
        <is>
          <t>Pregnancy timing adjustment for preterm pathway</t>
        </is>
      </c>
      <c r="C62" s="17" t="inlineStr">
        <is>
          <t>Share</t>
        </is>
      </c>
      <c r="D62" s="30" t="n">
        <v>0.7</v>
      </c>
      <c r="E62" s="29" t="inlineStr"/>
      <c r="F62" s="31">
        <f>IF(LEN(E62)=0,D62,E62)</f>
        <v/>
      </c>
      <c r="G62" s="17" t="n">
        <v>0.4</v>
      </c>
      <c r="H62" s="17" t="n">
        <v>1</v>
      </c>
      <c r="I62" s="17" t="inlineStr">
        <is>
          <t>Share of the full maternal BLL reduction treated as relevant to preterm birth when the intervention begins around mid-pregnancy.</t>
        </is>
      </c>
      <c r="J62" s="17" t="inlineStr">
        <is>
          <t>Structural timing parameter. The prenatal lead and preterm literature supports an in-pregnancy effect, but trimester-specific timing is less settled than for preeclampsia; the wide range reflects that uncertainty.</t>
        </is>
      </c>
      <c r="K62" s="33" t="inlineStr">
        <is>
          <t>Change cautiously</t>
        </is>
      </c>
      <c r="L62" s="17" t="inlineStr">
        <is>
          <t>preterm_timing_mult</t>
        </is>
      </c>
    </row>
    <row r="63">
      <c r="A63" s="17" t="inlineStr">
        <is>
          <t>Secondary health parameters</t>
        </is>
      </c>
      <c r="B63" s="17" t="inlineStr">
        <is>
          <t>DALYs per preterm birth averted</t>
        </is>
      </c>
      <c r="C63" s="17" t="inlineStr">
        <is>
          <t>DALYs</t>
        </is>
      </c>
      <c r="D63" s="30" t="n">
        <v>0.75</v>
      </c>
      <c r="E63" s="29" t="inlineStr"/>
      <c r="F63" s="31">
        <f>IF(LEN(E63)=0,D63,E63)</f>
        <v/>
      </c>
      <c r="G63" s="17" t="n">
        <v>0.5</v>
      </c>
      <c r="H63" s="17" t="n">
        <v>1</v>
      </c>
      <c r="I63" s="17" t="inlineStr">
        <is>
          <t>DALYs per preterm case averted in reduced-form valuation.</t>
        </is>
      </c>
      <c r="J63" s="17" t="inlineStr">
        <is>
          <t>Reduced-form policy parameter, not a direct single-study estimate.</t>
        </is>
      </c>
      <c r="K63" s="33" t="inlineStr">
        <is>
          <t>Change cautiously</t>
        </is>
      </c>
      <c r="L63" s="17" t="inlineStr">
        <is>
          <t>neonatal_daly_mult</t>
        </is>
      </c>
    </row>
    <row r="64">
      <c r="A64" s="17" t="inlineStr">
        <is>
          <t>Secondary health parameters</t>
        </is>
      </c>
      <c r="B64" s="17" t="inlineStr">
        <is>
          <t>Adult cardiovascular DALYs per 1 ug/dL lifetime lead reduction</t>
        </is>
      </c>
      <c r="C64" s="17" t="inlineStr">
        <is>
          <t>DALYs</t>
        </is>
      </c>
      <c r="D64" s="30" t="n">
        <v>0.0033</v>
      </c>
      <c r="E64" s="29" t="inlineStr"/>
      <c r="F64" s="31">
        <f>IF(LEN(E64)=0,D64,E64)</f>
        <v/>
      </c>
      <c r="G64" s="17" t="n">
        <v>0.002</v>
      </c>
      <c r="H64" s="17" t="n">
        <v>0.005</v>
      </c>
      <c r="I64" s="17" t="inlineStr">
        <is>
          <t>Lifetime adult DALYs per `1 ug/dL` sustained reduction.</t>
        </is>
      </c>
      <c r="J64" s="17" t="inlineStr">
        <is>
          <t>Anchored in global burden modeling on lead and cardiovascular disease; scenario parameter. Larsen and Sanchez-Triana (2023).</t>
        </is>
      </c>
      <c r="K64" s="33" t="inlineStr">
        <is>
          <t>Change cautiously</t>
        </is>
      </c>
      <c r="L64" s="17" t="inlineStr">
        <is>
          <t>cvd_daly_per_ug_lifetime</t>
        </is>
      </c>
    </row>
    <row r="65">
      <c r="A65" s="17" t="inlineStr">
        <is>
          <t>Secondary health parameters</t>
        </is>
      </c>
      <c r="B65" s="17" t="inlineStr">
        <is>
          <t>Value per DALY relative to annual productivity</t>
        </is>
      </c>
      <c r="C65" s="17" t="inlineStr">
        <is>
          <t>Multiplier</t>
        </is>
      </c>
      <c r="D65" s="30" t="n">
        <v>1.6</v>
      </c>
      <c r="E65" s="29" t="inlineStr"/>
      <c r="F65" s="31">
        <f>IF(LEN(E65)=0,D65,E65)</f>
        <v/>
      </c>
      <c r="G65" s="17" t="n">
        <v>1</v>
      </c>
      <c r="H65" s="17" t="n">
        <v>3</v>
      </c>
      <c r="I65" s="17" t="inlineStr">
        <is>
          <t>Value of a statistical life year relative to annual productivity.</t>
        </is>
      </c>
      <c r="J65" s="17" t="inlineStr">
        <is>
          <t>Robinson, Hammitt, and O'Keeffe (2019). [PubMed](https://pubmed.ncbi.nlm.nih.gov/32968616/)</t>
        </is>
      </c>
      <c r="K65" s="17" t="inlineStr">
        <is>
          <t>Policy choice</t>
        </is>
      </c>
      <c r="L65" s="17" t="inlineStr">
        <is>
          <t>vsly_mult</t>
        </is>
      </c>
    </row>
    <row r="66">
      <c r="A66" s="17" t="inlineStr">
        <is>
          <t>Secondary health parameters</t>
        </is>
      </c>
      <c r="B66" s="17" t="inlineStr">
        <is>
          <t>DALYs per preeclampsia case</t>
        </is>
      </c>
      <c r="C66" s="17" t="inlineStr">
        <is>
          <t>DALYs</t>
        </is>
      </c>
      <c r="D66" s="30" t="n">
        <v>0.003</v>
      </c>
      <c r="E66" s="29" t="inlineStr"/>
      <c r="F66" s="31">
        <f>IF(LEN(E66)=0,D66,E66)</f>
        <v/>
      </c>
      <c r="G66" s="17" t="n">
        <v>0.001</v>
      </c>
      <c r="H66" s="17" t="n">
        <v>0.005</v>
      </c>
      <c r="I66" s="17" t="inlineStr">
        <is>
          <t>DALYs per preeclampsia case in reduced-form approximation.</t>
        </is>
      </c>
      <c r="J66" s="17" t="inlineStr">
        <is>
          <t>Reduced-form valuation parameter.</t>
        </is>
      </c>
      <c r="K66" s="33" t="inlineStr">
        <is>
          <t>Change cautiously</t>
        </is>
      </c>
      <c r="L66" s="17" t="inlineStr">
        <is>
          <t>preeclampsia_daly_wt</t>
        </is>
      </c>
    </row>
    <row r="67">
      <c r="A67" s="28" t="inlineStr">
        <is>
          <t>Timing and duration</t>
        </is>
      </c>
      <c r="B67" s="17" t="n"/>
      <c r="C67" s="17" t="n"/>
      <c r="D67" s="17" t="n"/>
      <c r="E67" s="29" t="n"/>
      <c r="F67" s="17" t="n"/>
      <c r="G67" s="17" t="n"/>
      <c r="H67" s="17" t="n"/>
      <c r="I67" s="17" t="n"/>
      <c r="J67" s="17" t="n"/>
      <c r="K67" s="17" t="n"/>
      <c r="L67" s="17" t="n"/>
    </row>
    <row r="68">
      <c r="A68" s="17" t="inlineStr">
        <is>
          <t>Timing and duration</t>
        </is>
      </c>
      <c r="B68" s="17" t="inlineStr">
        <is>
          <t>Years safe pot protects</t>
        </is>
      </c>
      <c r="C68" s="17" t="inlineStr">
        <is>
          <t>Years</t>
        </is>
      </c>
      <c r="D68" s="30" t="n">
        <v>4</v>
      </c>
      <c r="E68" s="29" t="inlineStr"/>
      <c r="F68" s="31">
        <f>IF(LEN(E68)=0,D68,E68)</f>
        <v/>
      </c>
      <c r="G68" s="17" t="n">
        <v>2</v>
      </c>
      <c r="H68" s="17" t="n">
        <v>5</v>
      </c>
      <c r="I68" s="17" t="inlineStr">
        <is>
          <t>Duration of pot protection.</t>
        </is>
      </c>
      <c r="J68" s="17" t="inlineStr">
        <is>
          <t>Program-duration assumption with widened uncertainty about replacement persistence.</t>
        </is>
      </c>
      <c r="K68" s="17" t="inlineStr">
        <is>
          <t>Good local input if programme design differs</t>
        </is>
      </c>
      <c r="L68" s="17" t="inlineStr">
        <is>
          <t>years_pot</t>
        </is>
      </c>
    </row>
    <row r="69">
      <c r="A69" s="17" t="inlineStr">
        <is>
          <t>Timing and duration</t>
        </is>
      </c>
      <c r="B69" s="17" t="inlineStr">
        <is>
          <t>Years safe maternal kohl protects</t>
        </is>
      </c>
      <c r="C69" s="17" t="inlineStr">
        <is>
          <t>Years</t>
        </is>
      </c>
      <c r="D69" s="30" t="n">
        <v>1</v>
      </c>
      <c r="E69" s="29" t="inlineStr"/>
      <c r="F69" s="31">
        <f>IF(LEN(E69)=0,D69,E69)</f>
        <v/>
      </c>
      <c r="G69" s="17" t="n">
        <v>0.5</v>
      </c>
      <c r="H69" s="17" t="n">
        <v>2</v>
      </c>
      <c r="I69" s="17" t="inlineStr">
        <is>
          <t>Duration of maternal kohl protection.</t>
        </is>
      </c>
      <c r="J69" s="17" t="inlineStr">
        <is>
          <t>Program-duration assumption with widened uncertainty about continued use of the substitute.</t>
        </is>
      </c>
      <c r="K69" s="17" t="inlineStr">
        <is>
          <t>Good local input if programme design differs</t>
        </is>
      </c>
      <c r="L69" s="17" t="inlineStr">
        <is>
          <t>years_kohl_maternal</t>
        </is>
      </c>
    </row>
    <row r="70">
      <c r="A70" s="17" t="inlineStr">
        <is>
          <t>Timing and duration</t>
        </is>
      </c>
      <c r="B70" s="17" t="inlineStr">
        <is>
          <t>Years safe infant kohl protects</t>
        </is>
      </c>
      <c r="C70" s="17" t="inlineStr">
        <is>
          <t>Years</t>
        </is>
      </c>
      <c r="D70" s="30" t="n">
        <v>1</v>
      </c>
      <c r="E70" s="29" t="inlineStr"/>
      <c r="F70" s="31">
        <f>IF(LEN(E70)=0,D70,E70)</f>
        <v/>
      </c>
      <c r="G70" s="17" t="n">
        <v>0.5</v>
      </c>
      <c r="H70" s="17" t="n">
        <v>2</v>
      </c>
      <c r="I70" s="17" t="inlineStr">
        <is>
          <t>Duration of infant kohl protection.</t>
        </is>
      </c>
      <c r="J70" s="17" t="inlineStr">
        <is>
          <t>Program-duration assumption with widened uncertainty about how long substitute use persists.</t>
        </is>
      </c>
      <c r="K70" s="17" t="inlineStr">
        <is>
          <t>Good local input if programme design differs</t>
        </is>
      </c>
      <c r="L70" s="17" t="inlineStr">
        <is>
          <t>years_kohl_infant</t>
        </is>
      </c>
    </row>
    <row r="71">
      <c r="A71" s="17" t="inlineStr">
        <is>
          <t>Timing and duration</t>
        </is>
      </c>
      <c r="B71" s="17" t="inlineStr">
        <is>
          <t>Years safe utensils protect</t>
        </is>
      </c>
      <c r="C71" s="17" t="inlineStr">
        <is>
          <t>Years</t>
        </is>
      </c>
      <c r="D71" s="30" t="n">
        <v>2</v>
      </c>
      <c r="E71" s="29" t="inlineStr"/>
      <c r="F71" s="31">
        <f>IF(LEN(E71)=0,D71,E71)</f>
        <v/>
      </c>
      <c r="G71" s="17" t="n">
        <v>1</v>
      </c>
      <c r="H71" s="17" t="n">
        <v>3</v>
      </c>
      <c r="I71" s="17" t="inlineStr">
        <is>
          <t>Duration of child utensil protection.</t>
        </is>
      </c>
      <c r="J71" s="17" t="inlineStr">
        <is>
          <t>Program-duration assumption with widened uncertainty.</t>
        </is>
      </c>
      <c r="K71" s="17" t="inlineStr">
        <is>
          <t>Good local input if programme design differs</t>
        </is>
      </c>
      <c r="L71" s="17" t="inlineStr">
        <is>
          <t>years_utensils</t>
        </is>
      </c>
    </row>
    <row r="72">
      <c r="A72" s="17" t="inlineStr">
        <is>
          <t>Timing and duration</t>
        </is>
      </c>
      <c r="B72" s="17" t="inlineStr">
        <is>
          <t>Years calcium affects maternal lead</t>
        </is>
      </c>
      <c r="C72" s="17" t="inlineStr">
        <is>
          <t>Years</t>
        </is>
      </c>
      <c r="D72" s="30" t="n">
        <v>0.5</v>
      </c>
      <c r="E72" s="29" t="inlineStr"/>
      <c r="F72" s="31">
        <f>IF(LEN(E72)=0,D72,E72)</f>
        <v/>
      </c>
      <c r="G72" s="17" t="n">
        <v>0.25</v>
      </c>
      <c r="H72" s="17" t="n">
        <v>1</v>
      </c>
      <c r="I72" s="17" t="inlineStr">
        <is>
          <t>Duration of calcium effect during pregnancy.</t>
        </is>
      </c>
      <c r="J72" s="17" t="inlineStr">
        <is>
          <t>Program-duration assumption widened to better reflect a finite pregnancy course.</t>
        </is>
      </c>
      <c r="K72" s="17" t="inlineStr">
        <is>
          <t>Good local input if programme design differs</t>
        </is>
      </c>
      <c r="L72" s="17" t="inlineStr">
        <is>
          <t>years_calcium</t>
        </is>
      </c>
    </row>
    <row r="73">
      <c r="A73" s="17" t="inlineStr">
        <is>
          <t>Timing and duration</t>
        </is>
      </c>
      <c r="B73" s="17" t="inlineStr">
        <is>
          <t>Reference age for adult cardiovascular benefits</t>
        </is>
      </c>
      <c r="C73" s="17" t="inlineStr">
        <is>
          <t>Years</t>
        </is>
      </c>
      <c r="D73" s="30" t="n">
        <v>65</v>
      </c>
      <c r="E73" s="29" t="inlineStr"/>
      <c r="F73" s="31">
        <f>IF(LEN(E73)=0,D73,E73)</f>
        <v/>
      </c>
      <c r="G73" s="17" t="n">
        <v>65</v>
      </c>
      <c r="H73" s="17" t="n">
        <v>65</v>
      </c>
      <c r="I73" s="17" t="inlineStr">
        <is>
          <t>Reference age for discounting adult cardiovascular gains.</t>
        </is>
      </c>
      <c r="J73" s="17" t="inlineStr">
        <is>
          <t>Structural modeling assumption.</t>
        </is>
      </c>
      <c r="K73" s="17" t="inlineStr">
        <is>
          <t>Usually leave at default</t>
        </is>
      </c>
      <c r="L73" s="17" t="inlineStr">
        <is>
          <t>adult_reference_years</t>
        </is>
      </c>
    </row>
    <row r="74">
      <c r="A74" s="17" t="inlineStr">
        <is>
          <t>Timing and duration</t>
        </is>
      </c>
      <c r="B74" s="17" t="inlineStr">
        <is>
          <t>Grandparent pot exposure multiplier</t>
        </is>
      </c>
      <c r="C74" s="17" t="inlineStr">
        <is>
          <t>Share of child pot effect</t>
        </is>
      </c>
      <c r="D74" s="30" t="n">
        <v>0.5</v>
      </c>
      <c r="E74" s="29" t="inlineStr"/>
      <c r="F74" s="31">
        <f>IF(LEN(E74)=0,D74,E74)</f>
        <v/>
      </c>
      <c r="G74" s="17" t="n">
        <v>0.5</v>
      </c>
      <c r="H74" s="17" t="n">
        <v>0.5</v>
      </c>
      <c r="I74" s="17" t="inlineStr">
        <is>
          <t>Grandparent receives half the pot effect.</t>
        </is>
      </c>
      <c r="J74" s="17" t="inlineStr">
        <is>
          <t>Structural modeling assumption.</t>
        </is>
      </c>
      <c r="K74" s="17" t="inlineStr">
        <is>
          <t>Usually leave at default</t>
        </is>
      </c>
      <c r="L74" s="17" t="inlineStr">
        <is>
          <t>gp_pot_effect_multiplier</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8" customWidth="1" min="1" max="1"/>
    <col width="56" customWidth="1" min="2" max="2"/>
    <col width="76" customWidth="1" min="3" max="3"/>
    <col width="64" customWidth="1" min="4" max="4"/>
  </cols>
  <sheetData>
    <row r="1">
      <c r="A1" s="4" t="inlineStr">
        <is>
          <t>Concept</t>
        </is>
      </c>
      <c r="B1" s="4" t="inlineStr">
        <is>
          <t>Plain-language meaning</t>
        </is>
      </c>
      <c r="C1" s="4" t="inlineStr">
        <is>
          <t>Formula used in this workbook</t>
        </is>
      </c>
      <c r="D1" s="4" t="inlineStr">
        <is>
          <t>Notes</t>
        </is>
      </c>
    </row>
    <row r="2">
      <c r="A2" s="2" t="inlineStr">
        <is>
          <t>Present value of lifetime earnings</t>
        </is>
      </c>
      <c r="B2" s="2" t="inlineStr">
        <is>
          <t>Expected discounted lifetime earnings from birth.</t>
        </is>
      </c>
      <c r="C2" s="2" t="inlineStr">
        <is>
          <t>Productivity x growth/discount adjustment from birth to labour entry x sum of working-year survival and growth/discount terms.</t>
        </is>
      </c>
      <c r="D2" s="2" t="inlineStr">
        <is>
          <t>Productivity is GDP PPP per capita x labour share of national income.</t>
        </is>
      </c>
    </row>
    <row r="3">
      <c r="A3" s="2" t="inlineStr">
        <is>
          <t>Productivity</t>
        </is>
      </c>
      <c r="B3" s="2" t="inlineStr">
        <is>
          <t>Annual market-labour output used to value lifetime earnings and VSLY.</t>
        </is>
      </c>
      <c r="C3" s="2" t="inlineStr">
        <is>
          <t>GDP per capita, PPP x labour share of national income.</t>
        </is>
      </c>
      <c r="D3" s="2" t="inlineStr">
        <is>
          <t>This follows social cost-benefit practice and includes self-employment and informal market production better than observed wages alone.</t>
        </is>
      </c>
    </row>
    <row r="4">
      <c r="A4" s="2" t="inlineStr">
        <is>
          <t>Pot implementation chain</t>
        </is>
      </c>
      <c r="B4" s="2" t="inlineStr">
        <is>
          <t>The safe pot only generates benefit when the household is correctly targeted, reaches ANC, receives a voucher, finds a stocked merchant, redeems the voucher, and uses the pot for the pregnant woman or young child.</t>
        </is>
      </c>
      <c r="C4" s="2" t="inlineStr">
        <is>
          <t>Unsafe-pot prevalence x ANC attendance x voucher issued x merchant stocked x voucher redeemed x targeted use x (1 - residual unsafe-use harm).</t>
        </is>
      </c>
      <c r="D4" s="2" t="inlineStr">
        <is>
          <t>Costs for the pot are incurred only after attendance, voucher issuance, merchant stock, and redemption; fixed overhead remains regardless.</t>
        </is>
      </c>
    </row>
    <row r="5">
      <c r="A5" s="2" t="inlineStr">
        <is>
          <t>Clinic-distributed items</t>
        </is>
      </c>
      <c r="B5" s="2" t="inlineStr">
        <is>
          <t>Calcium, child utensils, maternal kohl, and infant kohl use shorter delivery chains.</t>
        </is>
      </c>
      <c r="C5" s="2" t="inlineStr">
        <is>
          <t>Relevant prevalence where applicable x relevant health-system contact x fidelity x adherence.</t>
        </is>
      </c>
      <c r="D5" s="2" t="inlineStr">
        <is>
          <t>Calcium currently helps all reached pregnant women in the targeted area rather than only women with a measured lead source.</t>
        </is>
      </c>
    </row>
    <row r="6">
      <c r="A6" s="2" t="inlineStr">
        <is>
          <t>Developmental timing</t>
        </is>
      </c>
      <c r="B6" s="2" t="inlineStr">
        <is>
          <t>An intervention that lasts only during part of pregnancy or early childhood does not receive the full cognitive benefit of lowering BLL throughout the developmental window.</t>
        </is>
      </c>
      <c r="C6" s="2" t="inlineStr">
        <is>
          <t>Prenatal BLL reduction x prenatal share + postnatal BLL reduction x years-protected share.</t>
        </is>
      </c>
      <c r="D6" s="2" t="inlineStr">
        <is>
          <t>The default shares are 30% for the last four months in utero, 30% for year 1, and 40% for years 2-5 combined.</t>
        </is>
      </c>
    </row>
    <row r="7">
      <c r="A7" s="2" t="inlineStr">
        <is>
          <t>IQ gain</t>
        </is>
      </c>
      <c r="B7" s="2" t="inlineStr">
        <is>
          <t>Lower developmentally weighted child blood lead increases expected IQ.</t>
        </is>
      </c>
      <c r="C7" s="2" t="inlineStr">
        <is>
          <t>Developmentally weighted child BLL reduction x IQ gain per 1 ug/dL lower BLL.</t>
        </is>
      </c>
      <c r="D7" s="2" t="inlineStr">
        <is>
          <t>The full Python model also reports a nonlinear log-BLL robustness check.</t>
        </is>
      </c>
    </row>
    <row r="8">
      <c r="A8" s="2" t="inlineStr">
        <is>
          <t>Lifetime earnings gain</t>
        </is>
      </c>
      <c r="B8" s="2" t="inlineStr">
        <is>
          <t>IQ gains raise expected lifetime earnings.</t>
        </is>
      </c>
      <c r="C8" s="2" t="inlineStr">
        <is>
          <t>Present value of lifetime earnings x earnings gain per IQ point x IQ gain.</t>
        </is>
      </c>
      <c r="D8" s="2" t="inlineStr">
        <is>
          <t>This is the main cognition-channel social benefit.</t>
        </is>
      </c>
    </row>
    <row r="9">
      <c r="A9" s="2" t="inlineStr">
        <is>
          <t>Benefit-cost ratio</t>
        </is>
      </c>
      <c r="B9" s="2" t="inlineStr">
        <is>
          <t>Social benefits divided by programme costs.</t>
        </is>
      </c>
      <c r="C9" s="2" t="inlineStr">
        <is>
          <t>Benefits / costs.</t>
        </is>
      </c>
      <c r="D9" s="2" t="inlineStr">
        <is>
          <t>The Topline sheet compares the workbook-default mode-only run with your local mode-only run for cognition-only, maternal/neonatal, and total BCRs.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c r="A1" s="4" t="inlineStr">
        <is>
          <t>Working year</t>
        </is>
      </c>
      <c r="B1" s="4" t="inlineStr">
        <is>
          <t>Survival S_t (default)</t>
        </is>
      </c>
      <c r="C1" s="4" t="inlineStr">
        <is>
          <t>Survival S_t (local)</t>
        </is>
      </c>
      <c r="D1" s="4" t="inlineStr">
        <is>
          <t>Growth-discount factor (default)</t>
        </is>
      </c>
      <c r="E1" s="4" t="inlineStr">
        <is>
          <t>Growth-discount factor (local)</t>
        </is>
      </c>
      <c r="F1" s="4" t="inlineStr">
        <is>
          <t>Included in work life (default)</t>
        </is>
      </c>
      <c r="G1" s="4" t="inlineStr">
        <is>
          <t>Included in work life (local)</t>
        </is>
      </c>
      <c r="H1" s="4" t="inlineStr">
        <is>
          <t>PV term (default)</t>
        </is>
      </c>
      <c r="I1" s="4" t="inlineStr">
        <is>
          <t>PV term (local)</t>
        </is>
      </c>
    </row>
    <row r="2">
      <c r="A2" s="2" t="n">
        <v>1</v>
      </c>
      <c r="B2" s="2">
        <f>Inputs!$D$7-(Inputs!$D$7-Inputs!$D$8)*POWER((A2-1)/47,Inputs!$D$9)</f>
        <v/>
      </c>
      <c r="C2" s="2">
        <f>Inputs!$F$7-(Inputs!$F$7-Inputs!$F$8)*POWER((A2-1)/47,Inputs!$F$9)</f>
        <v/>
      </c>
      <c r="D2" s="2">
        <f>POWER(((1+Inputs!$D$5)/(1+Inputs!$D$6)),A2-1)</f>
        <v/>
      </c>
      <c r="E2" s="2">
        <f>POWER(((1+Inputs!$F$5)/(1+Inputs!$F$6)),A2-1)</f>
        <v/>
      </c>
      <c r="F2" s="2">
        <f>--(A2&lt;=(65-Inputs!$D$10+1))</f>
        <v/>
      </c>
      <c r="G2" s="2">
        <f>--(A2&lt;=(65-Inputs!$F$10+1))</f>
        <v/>
      </c>
      <c r="H2" s="2">
        <f>B2*D2*F2</f>
        <v/>
      </c>
      <c r="I2" s="2">
        <f>C2*E2*G2</f>
        <v/>
      </c>
    </row>
    <row r="3">
      <c r="A3" s="2" t="n">
        <v>2</v>
      </c>
      <c r="B3" s="2">
        <f>Inputs!$D$7-(Inputs!$D$7-Inputs!$D$8)*POWER((A3-1)/47,Inputs!$D$9)</f>
        <v/>
      </c>
      <c r="C3" s="2">
        <f>Inputs!$F$7-(Inputs!$F$7-Inputs!$F$8)*POWER((A3-1)/47,Inputs!$F$9)</f>
        <v/>
      </c>
      <c r="D3" s="2">
        <f>POWER(((1+Inputs!$D$5)/(1+Inputs!$D$6)),A3-1)</f>
        <v/>
      </c>
      <c r="E3" s="2">
        <f>POWER(((1+Inputs!$F$5)/(1+Inputs!$F$6)),A3-1)</f>
        <v/>
      </c>
      <c r="F3" s="2">
        <f>--(A3&lt;=(65-Inputs!$D$10+1))</f>
        <v/>
      </c>
      <c r="G3" s="2">
        <f>--(A3&lt;=(65-Inputs!$F$10+1))</f>
        <v/>
      </c>
      <c r="H3" s="2">
        <f>B3*D3*F3</f>
        <v/>
      </c>
      <c r="I3" s="2">
        <f>C3*E3*G3</f>
        <v/>
      </c>
    </row>
    <row r="4">
      <c r="A4" s="2" t="n">
        <v>3</v>
      </c>
      <c r="B4" s="2">
        <f>Inputs!$D$7-(Inputs!$D$7-Inputs!$D$8)*POWER((A4-1)/47,Inputs!$D$9)</f>
        <v/>
      </c>
      <c r="C4" s="2">
        <f>Inputs!$F$7-(Inputs!$F$7-Inputs!$F$8)*POWER((A4-1)/47,Inputs!$F$9)</f>
        <v/>
      </c>
      <c r="D4" s="2">
        <f>POWER(((1+Inputs!$D$5)/(1+Inputs!$D$6)),A4-1)</f>
        <v/>
      </c>
      <c r="E4" s="2">
        <f>POWER(((1+Inputs!$F$5)/(1+Inputs!$F$6)),A4-1)</f>
        <v/>
      </c>
      <c r="F4" s="2">
        <f>--(A4&lt;=(65-Inputs!$D$10+1))</f>
        <v/>
      </c>
      <c r="G4" s="2">
        <f>--(A4&lt;=(65-Inputs!$F$10+1))</f>
        <v/>
      </c>
      <c r="H4" s="2">
        <f>B4*D4*F4</f>
        <v/>
      </c>
      <c r="I4" s="2">
        <f>C4*E4*G4</f>
        <v/>
      </c>
    </row>
    <row r="5">
      <c r="A5" s="2" t="n">
        <v>4</v>
      </c>
      <c r="B5" s="2">
        <f>Inputs!$D$7-(Inputs!$D$7-Inputs!$D$8)*POWER((A5-1)/47,Inputs!$D$9)</f>
        <v/>
      </c>
      <c r="C5" s="2">
        <f>Inputs!$F$7-(Inputs!$F$7-Inputs!$F$8)*POWER((A5-1)/47,Inputs!$F$9)</f>
        <v/>
      </c>
      <c r="D5" s="2">
        <f>POWER(((1+Inputs!$D$5)/(1+Inputs!$D$6)),A5-1)</f>
        <v/>
      </c>
      <c r="E5" s="2">
        <f>POWER(((1+Inputs!$F$5)/(1+Inputs!$F$6)),A5-1)</f>
        <v/>
      </c>
      <c r="F5" s="2">
        <f>--(A5&lt;=(65-Inputs!$D$10+1))</f>
        <v/>
      </c>
      <c r="G5" s="2">
        <f>--(A5&lt;=(65-Inputs!$F$10+1))</f>
        <v/>
      </c>
      <c r="H5" s="2">
        <f>B5*D5*F5</f>
        <v/>
      </c>
      <c r="I5" s="2">
        <f>C5*E5*G5</f>
        <v/>
      </c>
    </row>
    <row r="6">
      <c r="A6" s="2" t="n">
        <v>5</v>
      </c>
      <c r="B6" s="2">
        <f>Inputs!$D$7-(Inputs!$D$7-Inputs!$D$8)*POWER((A6-1)/47,Inputs!$D$9)</f>
        <v/>
      </c>
      <c r="C6" s="2">
        <f>Inputs!$F$7-(Inputs!$F$7-Inputs!$F$8)*POWER((A6-1)/47,Inputs!$F$9)</f>
        <v/>
      </c>
      <c r="D6" s="2">
        <f>POWER(((1+Inputs!$D$5)/(1+Inputs!$D$6)),A6-1)</f>
        <v/>
      </c>
      <c r="E6" s="2">
        <f>POWER(((1+Inputs!$F$5)/(1+Inputs!$F$6)),A6-1)</f>
        <v/>
      </c>
      <c r="F6" s="2">
        <f>--(A6&lt;=(65-Inputs!$D$10+1))</f>
        <v/>
      </c>
      <c r="G6" s="2">
        <f>--(A6&lt;=(65-Inputs!$F$10+1))</f>
        <v/>
      </c>
      <c r="H6" s="2">
        <f>B6*D6*F6</f>
        <v/>
      </c>
      <c r="I6" s="2">
        <f>C6*E6*G6</f>
        <v/>
      </c>
    </row>
    <row r="7">
      <c r="A7" s="2" t="n">
        <v>6</v>
      </c>
      <c r="B7" s="2">
        <f>Inputs!$D$7-(Inputs!$D$7-Inputs!$D$8)*POWER((A7-1)/47,Inputs!$D$9)</f>
        <v/>
      </c>
      <c r="C7" s="2">
        <f>Inputs!$F$7-(Inputs!$F$7-Inputs!$F$8)*POWER((A7-1)/47,Inputs!$F$9)</f>
        <v/>
      </c>
      <c r="D7" s="2">
        <f>POWER(((1+Inputs!$D$5)/(1+Inputs!$D$6)),A7-1)</f>
        <v/>
      </c>
      <c r="E7" s="2">
        <f>POWER(((1+Inputs!$F$5)/(1+Inputs!$F$6)),A7-1)</f>
        <v/>
      </c>
      <c r="F7" s="2">
        <f>--(A7&lt;=(65-Inputs!$D$10+1))</f>
        <v/>
      </c>
      <c r="G7" s="2">
        <f>--(A7&lt;=(65-Inputs!$F$10+1))</f>
        <v/>
      </c>
      <c r="H7" s="2">
        <f>B7*D7*F7</f>
        <v/>
      </c>
      <c r="I7" s="2">
        <f>C7*E7*G7</f>
        <v/>
      </c>
    </row>
    <row r="8">
      <c r="A8" s="2" t="n">
        <v>7</v>
      </c>
      <c r="B8" s="2">
        <f>Inputs!$D$7-(Inputs!$D$7-Inputs!$D$8)*POWER((A8-1)/47,Inputs!$D$9)</f>
        <v/>
      </c>
      <c r="C8" s="2">
        <f>Inputs!$F$7-(Inputs!$F$7-Inputs!$F$8)*POWER((A8-1)/47,Inputs!$F$9)</f>
        <v/>
      </c>
      <c r="D8" s="2">
        <f>POWER(((1+Inputs!$D$5)/(1+Inputs!$D$6)),A8-1)</f>
        <v/>
      </c>
      <c r="E8" s="2">
        <f>POWER(((1+Inputs!$F$5)/(1+Inputs!$F$6)),A8-1)</f>
        <v/>
      </c>
      <c r="F8" s="2">
        <f>--(A8&lt;=(65-Inputs!$D$10+1))</f>
        <v/>
      </c>
      <c r="G8" s="2">
        <f>--(A8&lt;=(65-Inputs!$F$10+1))</f>
        <v/>
      </c>
      <c r="H8" s="2">
        <f>B8*D8*F8</f>
        <v/>
      </c>
      <c r="I8" s="2">
        <f>C8*E8*G8</f>
        <v/>
      </c>
    </row>
    <row r="9">
      <c r="A9" s="2" t="n">
        <v>8</v>
      </c>
      <c r="B9" s="2">
        <f>Inputs!$D$7-(Inputs!$D$7-Inputs!$D$8)*POWER((A9-1)/47,Inputs!$D$9)</f>
        <v/>
      </c>
      <c r="C9" s="2">
        <f>Inputs!$F$7-(Inputs!$F$7-Inputs!$F$8)*POWER((A9-1)/47,Inputs!$F$9)</f>
        <v/>
      </c>
      <c r="D9" s="2">
        <f>POWER(((1+Inputs!$D$5)/(1+Inputs!$D$6)),A9-1)</f>
        <v/>
      </c>
      <c r="E9" s="2">
        <f>POWER(((1+Inputs!$F$5)/(1+Inputs!$F$6)),A9-1)</f>
        <v/>
      </c>
      <c r="F9" s="2">
        <f>--(A9&lt;=(65-Inputs!$D$10+1))</f>
        <v/>
      </c>
      <c r="G9" s="2">
        <f>--(A9&lt;=(65-Inputs!$F$10+1))</f>
        <v/>
      </c>
      <c r="H9" s="2">
        <f>B9*D9*F9</f>
        <v/>
      </c>
      <c r="I9" s="2">
        <f>C9*E9*G9</f>
        <v/>
      </c>
    </row>
    <row r="10">
      <c r="A10" s="2" t="n">
        <v>9</v>
      </c>
      <c r="B10" s="2">
        <f>Inputs!$D$7-(Inputs!$D$7-Inputs!$D$8)*POWER((A10-1)/47,Inputs!$D$9)</f>
        <v/>
      </c>
      <c r="C10" s="2">
        <f>Inputs!$F$7-(Inputs!$F$7-Inputs!$F$8)*POWER((A10-1)/47,Inputs!$F$9)</f>
        <v/>
      </c>
      <c r="D10" s="2">
        <f>POWER(((1+Inputs!$D$5)/(1+Inputs!$D$6)),A10-1)</f>
        <v/>
      </c>
      <c r="E10" s="2">
        <f>POWER(((1+Inputs!$F$5)/(1+Inputs!$F$6)),A10-1)</f>
        <v/>
      </c>
      <c r="F10" s="2">
        <f>--(A10&lt;=(65-Inputs!$D$10+1))</f>
        <v/>
      </c>
      <c r="G10" s="2">
        <f>--(A10&lt;=(65-Inputs!$F$10+1))</f>
        <v/>
      </c>
      <c r="H10" s="2">
        <f>B10*D10*F10</f>
        <v/>
      </c>
      <c r="I10" s="2">
        <f>C10*E10*G10</f>
        <v/>
      </c>
    </row>
    <row r="11">
      <c r="A11" s="2" t="n">
        <v>10</v>
      </c>
      <c r="B11" s="2">
        <f>Inputs!$D$7-(Inputs!$D$7-Inputs!$D$8)*POWER((A11-1)/47,Inputs!$D$9)</f>
        <v/>
      </c>
      <c r="C11" s="2">
        <f>Inputs!$F$7-(Inputs!$F$7-Inputs!$F$8)*POWER((A11-1)/47,Inputs!$F$9)</f>
        <v/>
      </c>
      <c r="D11" s="2">
        <f>POWER(((1+Inputs!$D$5)/(1+Inputs!$D$6)),A11-1)</f>
        <v/>
      </c>
      <c r="E11" s="2">
        <f>POWER(((1+Inputs!$F$5)/(1+Inputs!$F$6)),A11-1)</f>
        <v/>
      </c>
      <c r="F11" s="2">
        <f>--(A11&lt;=(65-Inputs!$D$10+1))</f>
        <v/>
      </c>
      <c r="G11" s="2">
        <f>--(A11&lt;=(65-Inputs!$F$10+1))</f>
        <v/>
      </c>
      <c r="H11" s="2">
        <f>B11*D11*F11</f>
        <v/>
      </c>
      <c r="I11" s="2">
        <f>C11*E11*G11</f>
        <v/>
      </c>
    </row>
    <row r="12">
      <c r="A12" s="2" t="n">
        <v>11</v>
      </c>
      <c r="B12" s="2">
        <f>Inputs!$D$7-(Inputs!$D$7-Inputs!$D$8)*POWER((A12-1)/47,Inputs!$D$9)</f>
        <v/>
      </c>
      <c r="C12" s="2">
        <f>Inputs!$F$7-(Inputs!$F$7-Inputs!$F$8)*POWER((A12-1)/47,Inputs!$F$9)</f>
        <v/>
      </c>
      <c r="D12" s="2">
        <f>POWER(((1+Inputs!$D$5)/(1+Inputs!$D$6)),A12-1)</f>
        <v/>
      </c>
      <c r="E12" s="2">
        <f>POWER(((1+Inputs!$F$5)/(1+Inputs!$F$6)),A12-1)</f>
        <v/>
      </c>
      <c r="F12" s="2">
        <f>--(A12&lt;=(65-Inputs!$D$10+1))</f>
        <v/>
      </c>
      <c r="G12" s="2">
        <f>--(A12&lt;=(65-Inputs!$F$10+1))</f>
        <v/>
      </c>
      <c r="H12" s="2">
        <f>B12*D12*F12</f>
        <v/>
      </c>
      <c r="I12" s="2">
        <f>C12*E12*G12</f>
        <v/>
      </c>
    </row>
    <row r="13">
      <c r="A13" s="2" t="n">
        <v>12</v>
      </c>
      <c r="B13" s="2">
        <f>Inputs!$D$7-(Inputs!$D$7-Inputs!$D$8)*POWER((A13-1)/47,Inputs!$D$9)</f>
        <v/>
      </c>
      <c r="C13" s="2">
        <f>Inputs!$F$7-(Inputs!$F$7-Inputs!$F$8)*POWER((A13-1)/47,Inputs!$F$9)</f>
        <v/>
      </c>
      <c r="D13" s="2">
        <f>POWER(((1+Inputs!$D$5)/(1+Inputs!$D$6)),A13-1)</f>
        <v/>
      </c>
      <c r="E13" s="2">
        <f>POWER(((1+Inputs!$F$5)/(1+Inputs!$F$6)),A13-1)</f>
        <v/>
      </c>
      <c r="F13" s="2">
        <f>--(A13&lt;=(65-Inputs!$D$10+1))</f>
        <v/>
      </c>
      <c r="G13" s="2">
        <f>--(A13&lt;=(65-Inputs!$F$10+1))</f>
        <v/>
      </c>
      <c r="H13" s="2">
        <f>B13*D13*F13</f>
        <v/>
      </c>
      <c r="I13" s="2">
        <f>C13*E13*G13</f>
        <v/>
      </c>
    </row>
    <row r="14">
      <c r="A14" s="2" t="n">
        <v>13</v>
      </c>
      <c r="B14" s="2">
        <f>Inputs!$D$7-(Inputs!$D$7-Inputs!$D$8)*POWER((A14-1)/47,Inputs!$D$9)</f>
        <v/>
      </c>
      <c r="C14" s="2">
        <f>Inputs!$F$7-(Inputs!$F$7-Inputs!$F$8)*POWER((A14-1)/47,Inputs!$F$9)</f>
        <v/>
      </c>
      <c r="D14" s="2">
        <f>POWER(((1+Inputs!$D$5)/(1+Inputs!$D$6)),A14-1)</f>
        <v/>
      </c>
      <c r="E14" s="2">
        <f>POWER(((1+Inputs!$F$5)/(1+Inputs!$F$6)),A14-1)</f>
        <v/>
      </c>
      <c r="F14" s="2">
        <f>--(A14&lt;=(65-Inputs!$D$10+1))</f>
        <v/>
      </c>
      <c r="G14" s="2">
        <f>--(A14&lt;=(65-Inputs!$F$10+1))</f>
        <v/>
      </c>
      <c r="H14" s="2">
        <f>B14*D14*F14</f>
        <v/>
      </c>
      <c r="I14" s="2">
        <f>C14*E14*G14</f>
        <v/>
      </c>
    </row>
    <row r="15">
      <c r="A15" s="2" t="n">
        <v>14</v>
      </c>
      <c r="B15" s="2">
        <f>Inputs!$D$7-(Inputs!$D$7-Inputs!$D$8)*POWER((A15-1)/47,Inputs!$D$9)</f>
        <v/>
      </c>
      <c r="C15" s="2">
        <f>Inputs!$F$7-(Inputs!$F$7-Inputs!$F$8)*POWER((A15-1)/47,Inputs!$F$9)</f>
        <v/>
      </c>
      <c r="D15" s="2">
        <f>POWER(((1+Inputs!$D$5)/(1+Inputs!$D$6)),A15-1)</f>
        <v/>
      </c>
      <c r="E15" s="2">
        <f>POWER(((1+Inputs!$F$5)/(1+Inputs!$F$6)),A15-1)</f>
        <v/>
      </c>
      <c r="F15" s="2">
        <f>--(A15&lt;=(65-Inputs!$D$10+1))</f>
        <v/>
      </c>
      <c r="G15" s="2">
        <f>--(A15&lt;=(65-Inputs!$F$10+1))</f>
        <v/>
      </c>
      <c r="H15" s="2">
        <f>B15*D15*F15</f>
        <v/>
      </c>
      <c r="I15" s="2">
        <f>C15*E15*G15</f>
        <v/>
      </c>
    </row>
    <row r="16">
      <c r="A16" s="2" t="n">
        <v>15</v>
      </c>
      <c r="B16" s="2">
        <f>Inputs!$D$7-(Inputs!$D$7-Inputs!$D$8)*POWER((A16-1)/47,Inputs!$D$9)</f>
        <v/>
      </c>
      <c r="C16" s="2">
        <f>Inputs!$F$7-(Inputs!$F$7-Inputs!$F$8)*POWER((A16-1)/47,Inputs!$F$9)</f>
        <v/>
      </c>
      <c r="D16" s="2">
        <f>POWER(((1+Inputs!$D$5)/(1+Inputs!$D$6)),A16-1)</f>
        <v/>
      </c>
      <c r="E16" s="2">
        <f>POWER(((1+Inputs!$F$5)/(1+Inputs!$F$6)),A16-1)</f>
        <v/>
      </c>
      <c r="F16" s="2">
        <f>--(A16&lt;=(65-Inputs!$D$10+1))</f>
        <v/>
      </c>
      <c r="G16" s="2">
        <f>--(A16&lt;=(65-Inputs!$F$10+1))</f>
        <v/>
      </c>
      <c r="H16" s="2">
        <f>B16*D16*F16</f>
        <v/>
      </c>
      <c r="I16" s="2">
        <f>C16*E16*G16</f>
        <v/>
      </c>
    </row>
    <row r="17">
      <c r="A17" s="2" t="n">
        <v>16</v>
      </c>
      <c r="B17" s="2">
        <f>Inputs!$D$7-(Inputs!$D$7-Inputs!$D$8)*POWER((A17-1)/47,Inputs!$D$9)</f>
        <v/>
      </c>
      <c r="C17" s="2">
        <f>Inputs!$F$7-(Inputs!$F$7-Inputs!$F$8)*POWER((A17-1)/47,Inputs!$F$9)</f>
        <v/>
      </c>
      <c r="D17" s="2">
        <f>POWER(((1+Inputs!$D$5)/(1+Inputs!$D$6)),A17-1)</f>
        <v/>
      </c>
      <c r="E17" s="2">
        <f>POWER(((1+Inputs!$F$5)/(1+Inputs!$F$6)),A17-1)</f>
        <v/>
      </c>
      <c r="F17" s="2">
        <f>--(A17&lt;=(65-Inputs!$D$10+1))</f>
        <v/>
      </c>
      <c r="G17" s="2">
        <f>--(A17&lt;=(65-Inputs!$F$10+1))</f>
        <v/>
      </c>
      <c r="H17" s="2">
        <f>B17*D17*F17</f>
        <v/>
      </c>
      <c r="I17" s="2">
        <f>C17*E17*G17</f>
        <v/>
      </c>
    </row>
    <row r="18">
      <c r="A18" s="2" t="n">
        <v>17</v>
      </c>
      <c r="B18" s="2">
        <f>Inputs!$D$7-(Inputs!$D$7-Inputs!$D$8)*POWER((A18-1)/47,Inputs!$D$9)</f>
        <v/>
      </c>
      <c r="C18" s="2">
        <f>Inputs!$F$7-(Inputs!$F$7-Inputs!$F$8)*POWER((A18-1)/47,Inputs!$F$9)</f>
        <v/>
      </c>
      <c r="D18" s="2">
        <f>POWER(((1+Inputs!$D$5)/(1+Inputs!$D$6)),A18-1)</f>
        <v/>
      </c>
      <c r="E18" s="2">
        <f>POWER(((1+Inputs!$F$5)/(1+Inputs!$F$6)),A18-1)</f>
        <v/>
      </c>
      <c r="F18" s="2">
        <f>--(A18&lt;=(65-Inputs!$D$10+1))</f>
        <v/>
      </c>
      <c r="G18" s="2">
        <f>--(A18&lt;=(65-Inputs!$F$10+1))</f>
        <v/>
      </c>
      <c r="H18" s="2">
        <f>B18*D18*F18</f>
        <v/>
      </c>
      <c r="I18" s="2">
        <f>C18*E18*G18</f>
        <v/>
      </c>
    </row>
    <row r="19">
      <c r="A19" s="2" t="n">
        <v>18</v>
      </c>
      <c r="B19" s="2">
        <f>Inputs!$D$7-(Inputs!$D$7-Inputs!$D$8)*POWER((A19-1)/47,Inputs!$D$9)</f>
        <v/>
      </c>
      <c r="C19" s="2">
        <f>Inputs!$F$7-(Inputs!$F$7-Inputs!$F$8)*POWER((A19-1)/47,Inputs!$F$9)</f>
        <v/>
      </c>
      <c r="D19" s="2">
        <f>POWER(((1+Inputs!$D$5)/(1+Inputs!$D$6)),A19-1)</f>
        <v/>
      </c>
      <c r="E19" s="2">
        <f>POWER(((1+Inputs!$F$5)/(1+Inputs!$F$6)),A19-1)</f>
        <v/>
      </c>
      <c r="F19" s="2">
        <f>--(A19&lt;=(65-Inputs!$D$10+1))</f>
        <v/>
      </c>
      <c r="G19" s="2">
        <f>--(A19&lt;=(65-Inputs!$F$10+1))</f>
        <v/>
      </c>
      <c r="H19" s="2">
        <f>B19*D19*F19</f>
        <v/>
      </c>
      <c r="I19" s="2">
        <f>C19*E19*G19</f>
        <v/>
      </c>
    </row>
    <row r="20">
      <c r="A20" s="2" t="n">
        <v>19</v>
      </c>
      <c r="B20" s="2">
        <f>Inputs!$D$7-(Inputs!$D$7-Inputs!$D$8)*POWER((A20-1)/47,Inputs!$D$9)</f>
        <v/>
      </c>
      <c r="C20" s="2">
        <f>Inputs!$F$7-(Inputs!$F$7-Inputs!$F$8)*POWER((A20-1)/47,Inputs!$F$9)</f>
        <v/>
      </c>
      <c r="D20" s="2">
        <f>POWER(((1+Inputs!$D$5)/(1+Inputs!$D$6)),A20-1)</f>
        <v/>
      </c>
      <c r="E20" s="2">
        <f>POWER(((1+Inputs!$F$5)/(1+Inputs!$F$6)),A20-1)</f>
        <v/>
      </c>
      <c r="F20" s="2">
        <f>--(A20&lt;=(65-Inputs!$D$10+1))</f>
        <v/>
      </c>
      <c r="G20" s="2">
        <f>--(A20&lt;=(65-Inputs!$F$10+1))</f>
        <v/>
      </c>
      <c r="H20" s="2">
        <f>B20*D20*F20</f>
        <v/>
      </c>
      <c r="I20" s="2">
        <f>C20*E20*G20</f>
        <v/>
      </c>
    </row>
    <row r="21">
      <c r="A21" s="2" t="n">
        <v>20</v>
      </c>
      <c r="B21" s="2">
        <f>Inputs!$D$7-(Inputs!$D$7-Inputs!$D$8)*POWER((A21-1)/47,Inputs!$D$9)</f>
        <v/>
      </c>
      <c r="C21" s="2">
        <f>Inputs!$F$7-(Inputs!$F$7-Inputs!$F$8)*POWER((A21-1)/47,Inputs!$F$9)</f>
        <v/>
      </c>
      <c r="D21" s="2">
        <f>POWER(((1+Inputs!$D$5)/(1+Inputs!$D$6)),A21-1)</f>
        <v/>
      </c>
      <c r="E21" s="2">
        <f>POWER(((1+Inputs!$F$5)/(1+Inputs!$F$6)),A21-1)</f>
        <v/>
      </c>
      <c r="F21" s="2">
        <f>--(A21&lt;=(65-Inputs!$D$10+1))</f>
        <v/>
      </c>
      <c r="G21" s="2">
        <f>--(A21&lt;=(65-Inputs!$F$10+1))</f>
        <v/>
      </c>
      <c r="H21" s="2">
        <f>B21*D21*F21</f>
        <v/>
      </c>
      <c r="I21" s="2">
        <f>C21*E21*G21</f>
        <v/>
      </c>
    </row>
    <row r="22">
      <c r="A22" s="2" t="n">
        <v>21</v>
      </c>
      <c r="B22" s="2">
        <f>Inputs!$D$7-(Inputs!$D$7-Inputs!$D$8)*POWER((A22-1)/47,Inputs!$D$9)</f>
        <v/>
      </c>
      <c r="C22" s="2">
        <f>Inputs!$F$7-(Inputs!$F$7-Inputs!$F$8)*POWER((A22-1)/47,Inputs!$F$9)</f>
        <v/>
      </c>
      <c r="D22" s="2">
        <f>POWER(((1+Inputs!$D$5)/(1+Inputs!$D$6)),A22-1)</f>
        <v/>
      </c>
      <c r="E22" s="2">
        <f>POWER(((1+Inputs!$F$5)/(1+Inputs!$F$6)),A22-1)</f>
        <v/>
      </c>
      <c r="F22" s="2">
        <f>--(A22&lt;=(65-Inputs!$D$10+1))</f>
        <v/>
      </c>
      <c r="G22" s="2">
        <f>--(A22&lt;=(65-Inputs!$F$10+1))</f>
        <v/>
      </c>
      <c r="H22" s="2">
        <f>B22*D22*F22</f>
        <v/>
      </c>
      <c r="I22" s="2">
        <f>C22*E22*G22</f>
        <v/>
      </c>
    </row>
    <row r="23">
      <c r="A23" s="2" t="n">
        <v>22</v>
      </c>
      <c r="B23" s="2">
        <f>Inputs!$D$7-(Inputs!$D$7-Inputs!$D$8)*POWER((A23-1)/47,Inputs!$D$9)</f>
        <v/>
      </c>
      <c r="C23" s="2">
        <f>Inputs!$F$7-(Inputs!$F$7-Inputs!$F$8)*POWER((A23-1)/47,Inputs!$F$9)</f>
        <v/>
      </c>
      <c r="D23" s="2">
        <f>POWER(((1+Inputs!$D$5)/(1+Inputs!$D$6)),A23-1)</f>
        <v/>
      </c>
      <c r="E23" s="2">
        <f>POWER(((1+Inputs!$F$5)/(1+Inputs!$F$6)),A23-1)</f>
        <v/>
      </c>
      <c r="F23" s="2">
        <f>--(A23&lt;=(65-Inputs!$D$10+1))</f>
        <v/>
      </c>
      <c r="G23" s="2">
        <f>--(A23&lt;=(65-Inputs!$F$10+1))</f>
        <v/>
      </c>
      <c r="H23" s="2">
        <f>B23*D23*F23</f>
        <v/>
      </c>
      <c r="I23" s="2">
        <f>C23*E23*G23</f>
        <v/>
      </c>
    </row>
    <row r="24">
      <c r="A24" s="2" t="n">
        <v>23</v>
      </c>
      <c r="B24" s="2">
        <f>Inputs!$D$7-(Inputs!$D$7-Inputs!$D$8)*POWER((A24-1)/47,Inputs!$D$9)</f>
        <v/>
      </c>
      <c r="C24" s="2">
        <f>Inputs!$F$7-(Inputs!$F$7-Inputs!$F$8)*POWER((A24-1)/47,Inputs!$F$9)</f>
        <v/>
      </c>
      <c r="D24" s="2">
        <f>POWER(((1+Inputs!$D$5)/(1+Inputs!$D$6)),A24-1)</f>
        <v/>
      </c>
      <c r="E24" s="2">
        <f>POWER(((1+Inputs!$F$5)/(1+Inputs!$F$6)),A24-1)</f>
        <v/>
      </c>
      <c r="F24" s="2">
        <f>--(A24&lt;=(65-Inputs!$D$10+1))</f>
        <v/>
      </c>
      <c r="G24" s="2">
        <f>--(A24&lt;=(65-Inputs!$F$10+1))</f>
        <v/>
      </c>
      <c r="H24" s="2">
        <f>B24*D24*F24</f>
        <v/>
      </c>
      <c r="I24" s="2">
        <f>C24*E24*G24</f>
        <v/>
      </c>
    </row>
    <row r="25">
      <c r="A25" s="2" t="n">
        <v>24</v>
      </c>
      <c r="B25" s="2">
        <f>Inputs!$D$7-(Inputs!$D$7-Inputs!$D$8)*POWER((A25-1)/47,Inputs!$D$9)</f>
        <v/>
      </c>
      <c r="C25" s="2">
        <f>Inputs!$F$7-(Inputs!$F$7-Inputs!$F$8)*POWER((A25-1)/47,Inputs!$F$9)</f>
        <v/>
      </c>
      <c r="D25" s="2">
        <f>POWER(((1+Inputs!$D$5)/(1+Inputs!$D$6)),A25-1)</f>
        <v/>
      </c>
      <c r="E25" s="2">
        <f>POWER(((1+Inputs!$F$5)/(1+Inputs!$F$6)),A25-1)</f>
        <v/>
      </c>
      <c r="F25" s="2">
        <f>--(A25&lt;=(65-Inputs!$D$10+1))</f>
        <v/>
      </c>
      <c r="G25" s="2">
        <f>--(A25&lt;=(65-Inputs!$F$10+1))</f>
        <v/>
      </c>
      <c r="H25" s="2">
        <f>B25*D25*F25</f>
        <v/>
      </c>
      <c r="I25" s="2">
        <f>C25*E25*G25</f>
        <v/>
      </c>
    </row>
    <row r="26">
      <c r="A26" s="2" t="n">
        <v>25</v>
      </c>
      <c r="B26" s="2">
        <f>Inputs!$D$7-(Inputs!$D$7-Inputs!$D$8)*POWER((A26-1)/47,Inputs!$D$9)</f>
        <v/>
      </c>
      <c r="C26" s="2">
        <f>Inputs!$F$7-(Inputs!$F$7-Inputs!$F$8)*POWER((A26-1)/47,Inputs!$F$9)</f>
        <v/>
      </c>
      <c r="D26" s="2">
        <f>POWER(((1+Inputs!$D$5)/(1+Inputs!$D$6)),A26-1)</f>
        <v/>
      </c>
      <c r="E26" s="2">
        <f>POWER(((1+Inputs!$F$5)/(1+Inputs!$F$6)),A26-1)</f>
        <v/>
      </c>
      <c r="F26" s="2">
        <f>--(A26&lt;=(65-Inputs!$D$10+1))</f>
        <v/>
      </c>
      <c r="G26" s="2">
        <f>--(A26&lt;=(65-Inputs!$F$10+1))</f>
        <v/>
      </c>
      <c r="H26" s="2">
        <f>B26*D26*F26</f>
        <v/>
      </c>
      <c r="I26" s="2">
        <f>C26*E26*G26</f>
        <v/>
      </c>
    </row>
    <row r="27">
      <c r="A27" s="2" t="n">
        <v>26</v>
      </c>
      <c r="B27" s="2">
        <f>Inputs!$D$7-(Inputs!$D$7-Inputs!$D$8)*POWER((A27-1)/47,Inputs!$D$9)</f>
        <v/>
      </c>
      <c r="C27" s="2">
        <f>Inputs!$F$7-(Inputs!$F$7-Inputs!$F$8)*POWER((A27-1)/47,Inputs!$F$9)</f>
        <v/>
      </c>
      <c r="D27" s="2">
        <f>POWER(((1+Inputs!$D$5)/(1+Inputs!$D$6)),A27-1)</f>
        <v/>
      </c>
      <c r="E27" s="2">
        <f>POWER(((1+Inputs!$F$5)/(1+Inputs!$F$6)),A27-1)</f>
        <v/>
      </c>
      <c r="F27" s="2">
        <f>--(A27&lt;=(65-Inputs!$D$10+1))</f>
        <v/>
      </c>
      <c r="G27" s="2">
        <f>--(A27&lt;=(65-Inputs!$F$10+1))</f>
        <v/>
      </c>
      <c r="H27" s="2">
        <f>B27*D27*F27</f>
        <v/>
      </c>
      <c r="I27" s="2">
        <f>C27*E27*G27</f>
        <v/>
      </c>
    </row>
    <row r="28">
      <c r="A28" s="2" t="n">
        <v>27</v>
      </c>
      <c r="B28" s="2">
        <f>Inputs!$D$7-(Inputs!$D$7-Inputs!$D$8)*POWER((A28-1)/47,Inputs!$D$9)</f>
        <v/>
      </c>
      <c r="C28" s="2">
        <f>Inputs!$F$7-(Inputs!$F$7-Inputs!$F$8)*POWER((A28-1)/47,Inputs!$F$9)</f>
        <v/>
      </c>
      <c r="D28" s="2">
        <f>POWER(((1+Inputs!$D$5)/(1+Inputs!$D$6)),A28-1)</f>
        <v/>
      </c>
      <c r="E28" s="2">
        <f>POWER(((1+Inputs!$F$5)/(1+Inputs!$F$6)),A28-1)</f>
        <v/>
      </c>
      <c r="F28" s="2">
        <f>--(A28&lt;=(65-Inputs!$D$10+1))</f>
        <v/>
      </c>
      <c r="G28" s="2">
        <f>--(A28&lt;=(65-Inputs!$F$10+1))</f>
        <v/>
      </c>
      <c r="H28" s="2">
        <f>B28*D28*F28</f>
        <v/>
      </c>
      <c r="I28" s="2">
        <f>C28*E28*G28</f>
        <v/>
      </c>
    </row>
    <row r="29">
      <c r="A29" s="2" t="n">
        <v>28</v>
      </c>
      <c r="B29" s="2">
        <f>Inputs!$D$7-(Inputs!$D$7-Inputs!$D$8)*POWER((A29-1)/47,Inputs!$D$9)</f>
        <v/>
      </c>
      <c r="C29" s="2">
        <f>Inputs!$F$7-(Inputs!$F$7-Inputs!$F$8)*POWER((A29-1)/47,Inputs!$F$9)</f>
        <v/>
      </c>
      <c r="D29" s="2">
        <f>POWER(((1+Inputs!$D$5)/(1+Inputs!$D$6)),A29-1)</f>
        <v/>
      </c>
      <c r="E29" s="2">
        <f>POWER(((1+Inputs!$F$5)/(1+Inputs!$F$6)),A29-1)</f>
        <v/>
      </c>
      <c r="F29" s="2">
        <f>--(A29&lt;=(65-Inputs!$D$10+1))</f>
        <v/>
      </c>
      <c r="G29" s="2">
        <f>--(A29&lt;=(65-Inputs!$F$10+1))</f>
        <v/>
      </c>
      <c r="H29" s="2">
        <f>B29*D29*F29</f>
        <v/>
      </c>
      <c r="I29" s="2">
        <f>C29*E29*G29</f>
        <v/>
      </c>
    </row>
    <row r="30">
      <c r="A30" s="2" t="n">
        <v>29</v>
      </c>
      <c r="B30" s="2">
        <f>Inputs!$D$7-(Inputs!$D$7-Inputs!$D$8)*POWER((A30-1)/47,Inputs!$D$9)</f>
        <v/>
      </c>
      <c r="C30" s="2">
        <f>Inputs!$F$7-(Inputs!$F$7-Inputs!$F$8)*POWER((A30-1)/47,Inputs!$F$9)</f>
        <v/>
      </c>
      <c r="D30" s="2">
        <f>POWER(((1+Inputs!$D$5)/(1+Inputs!$D$6)),A30-1)</f>
        <v/>
      </c>
      <c r="E30" s="2">
        <f>POWER(((1+Inputs!$F$5)/(1+Inputs!$F$6)),A30-1)</f>
        <v/>
      </c>
      <c r="F30" s="2">
        <f>--(A30&lt;=(65-Inputs!$D$10+1))</f>
        <v/>
      </c>
      <c r="G30" s="2">
        <f>--(A30&lt;=(65-Inputs!$F$10+1))</f>
        <v/>
      </c>
      <c r="H30" s="2">
        <f>B30*D30*F30</f>
        <v/>
      </c>
      <c r="I30" s="2">
        <f>C30*E30*G30</f>
        <v/>
      </c>
    </row>
    <row r="31">
      <c r="A31" s="2" t="n">
        <v>30</v>
      </c>
      <c r="B31" s="2">
        <f>Inputs!$D$7-(Inputs!$D$7-Inputs!$D$8)*POWER((A31-1)/47,Inputs!$D$9)</f>
        <v/>
      </c>
      <c r="C31" s="2">
        <f>Inputs!$F$7-(Inputs!$F$7-Inputs!$F$8)*POWER((A31-1)/47,Inputs!$F$9)</f>
        <v/>
      </c>
      <c r="D31" s="2">
        <f>POWER(((1+Inputs!$D$5)/(1+Inputs!$D$6)),A31-1)</f>
        <v/>
      </c>
      <c r="E31" s="2">
        <f>POWER(((1+Inputs!$F$5)/(1+Inputs!$F$6)),A31-1)</f>
        <v/>
      </c>
      <c r="F31" s="2">
        <f>--(A31&lt;=(65-Inputs!$D$10+1))</f>
        <v/>
      </c>
      <c r="G31" s="2">
        <f>--(A31&lt;=(65-Inputs!$F$10+1))</f>
        <v/>
      </c>
      <c r="H31" s="2">
        <f>B31*D31*F31</f>
        <v/>
      </c>
      <c r="I31" s="2">
        <f>C31*E31*G31</f>
        <v/>
      </c>
    </row>
    <row r="32">
      <c r="A32" s="2" t="n">
        <v>31</v>
      </c>
      <c r="B32" s="2">
        <f>Inputs!$D$7-(Inputs!$D$7-Inputs!$D$8)*POWER((A32-1)/47,Inputs!$D$9)</f>
        <v/>
      </c>
      <c r="C32" s="2">
        <f>Inputs!$F$7-(Inputs!$F$7-Inputs!$F$8)*POWER((A32-1)/47,Inputs!$F$9)</f>
        <v/>
      </c>
      <c r="D32" s="2">
        <f>POWER(((1+Inputs!$D$5)/(1+Inputs!$D$6)),A32-1)</f>
        <v/>
      </c>
      <c r="E32" s="2">
        <f>POWER(((1+Inputs!$F$5)/(1+Inputs!$F$6)),A32-1)</f>
        <v/>
      </c>
      <c r="F32" s="2">
        <f>--(A32&lt;=(65-Inputs!$D$10+1))</f>
        <v/>
      </c>
      <c r="G32" s="2">
        <f>--(A32&lt;=(65-Inputs!$F$10+1))</f>
        <v/>
      </c>
      <c r="H32" s="2">
        <f>B32*D32*F32</f>
        <v/>
      </c>
      <c r="I32" s="2">
        <f>C32*E32*G32</f>
        <v/>
      </c>
    </row>
    <row r="33">
      <c r="A33" s="2" t="n">
        <v>32</v>
      </c>
      <c r="B33" s="2">
        <f>Inputs!$D$7-(Inputs!$D$7-Inputs!$D$8)*POWER((A33-1)/47,Inputs!$D$9)</f>
        <v/>
      </c>
      <c r="C33" s="2">
        <f>Inputs!$F$7-(Inputs!$F$7-Inputs!$F$8)*POWER((A33-1)/47,Inputs!$F$9)</f>
        <v/>
      </c>
      <c r="D33" s="2">
        <f>POWER(((1+Inputs!$D$5)/(1+Inputs!$D$6)),A33-1)</f>
        <v/>
      </c>
      <c r="E33" s="2">
        <f>POWER(((1+Inputs!$F$5)/(1+Inputs!$F$6)),A33-1)</f>
        <v/>
      </c>
      <c r="F33" s="2">
        <f>--(A33&lt;=(65-Inputs!$D$10+1))</f>
        <v/>
      </c>
      <c r="G33" s="2">
        <f>--(A33&lt;=(65-Inputs!$F$10+1))</f>
        <v/>
      </c>
      <c r="H33" s="2">
        <f>B33*D33*F33</f>
        <v/>
      </c>
      <c r="I33" s="2">
        <f>C33*E33*G33</f>
        <v/>
      </c>
    </row>
    <row r="34">
      <c r="A34" s="2" t="n">
        <v>33</v>
      </c>
      <c r="B34" s="2">
        <f>Inputs!$D$7-(Inputs!$D$7-Inputs!$D$8)*POWER((A34-1)/47,Inputs!$D$9)</f>
        <v/>
      </c>
      <c r="C34" s="2">
        <f>Inputs!$F$7-(Inputs!$F$7-Inputs!$F$8)*POWER((A34-1)/47,Inputs!$F$9)</f>
        <v/>
      </c>
      <c r="D34" s="2">
        <f>POWER(((1+Inputs!$D$5)/(1+Inputs!$D$6)),A34-1)</f>
        <v/>
      </c>
      <c r="E34" s="2">
        <f>POWER(((1+Inputs!$F$5)/(1+Inputs!$F$6)),A34-1)</f>
        <v/>
      </c>
      <c r="F34" s="2">
        <f>--(A34&lt;=(65-Inputs!$D$10+1))</f>
        <v/>
      </c>
      <c r="G34" s="2">
        <f>--(A34&lt;=(65-Inputs!$F$10+1))</f>
        <v/>
      </c>
      <c r="H34" s="2">
        <f>B34*D34*F34</f>
        <v/>
      </c>
      <c r="I34" s="2">
        <f>C34*E34*G34</f>
        <v/>
      </c>
    </row>
    <row r="35">
      <c r="A35" s="2" t="n">
        <v>34</v>
      </c>
      <c r="B35" s="2">
        <f>Inputs!$D$7-(Inputs!$D$7-Inputs!$D$8)*POWER((A35-1)/47,Inputs!$D$9)</f>
        <v/>
      </c>
      <c r="C35" s="2">
        <f>Inputs!$F$7-(Inputs!$F$7-Inputs!$F$8)*POWER((A35-1)/47,Inputs!$F$9)</f>
        <v/>
      </c>
      <c r="D35" s="2">
        <f>POWER(((1+Inputs!$D$5)/(1+Inputs!$D$6)),A35-1)</f>
        <v/>
      </c>
      <c r="E35" s="2">
        <f>POWER(((1+Inputs!$F$5)/(1+Inputs!$F$6)),A35-1)</f>
        <v/>
      </c>
      <c r="F35" s="2">
        <f>--(A35&lt;=(65-Inputs!$D$10+1))</f>
        <v/>
      </c>
      <c r="G35" s="2">
        <f>--(A35&lt;=(65-Inputs!$F$10+1))</f>
        <v/>
      </c>
      <c r="H35" s="2">
        <f>B35*D35*F35</f>
        <v/>
      </c>
      <c r="I35" s="2">
        <f>C35*E35*G35</f>
        <v/>
      </c>
    </row>
    <row r="36">
      <c r="A36" s="2" t="n">
        <v>35</v>
      </c>
      <c r="B36" s="2">
        <f>Inputs!$D$7-(Inputs!$D$7-Inputs!$D$8)*POWER((A36-1)/47,Inputs!$D$9)</f>
        <v/>
      </c>
      <c r="C36" s="2">
        <f>Inputs!$F$7-(Inputs!$F$7-Inputs!$F$8)*POWER((A36-1)/47,Inputs!$F$9)</f>
        <v/>
      </c>
      <c r="D36" s="2">
        <f>POWER(((1+Inputs!$D$5)/(1+Inputs!$D$6)),A36-1)</f>
        <v/>
      </c>
      <c r="E36" s="2">
        <f>POWER(((1+Inputs!$F$5)/(1+Inputs!$F$6)),A36-1)</f>
        <v/>
      </c>
      <c r="F36" s="2">
        <f>--(A36&lt;=(65-Inputs!$D$10+1))</f>
        <v/>
      </c>
      <c r="G36" s="2">
        <f>--(A36&lt;=(65-Inputs!$F$10+1))</f>
        <v/>
      </c>
      <c r="H36" s="2">
        <f>B36*D36*F36</f>
        <v/>
      </c>
      <c r="I36" s="2">
        <f>C36*E36*G36</f>
        <v/>
      </c>
    </row>
    <row r="37">
      <c r="A37" s="2" t="n">
        <v>36</v>
      </c>
      <c r="B37" s="2">
        <f>Inputs!$D$7-(Inputs!$D$7-Inputs!$D$8)*POWER((A37-1)/47,Inputs!$D$9)</f>
        <v/>
      </c>
      <c r="C37" s="2">
        <f>Inputs!$F$7-(Inputs!$F$7-Inputs!$F$8)*POWER((A37-1)/47,Inputs!$F$9)</f>
        <v/>
      </c>
      <c r="D37" s="2">
        <f>POWER(((1+Inputs!$D$5)/(1+Inputs!$D$6)),A37-1)</f>
        <v/>
      </c>
      <c r="E37" s="2">
        <f>POWER(((1+Inputs!$F$5)/(1+Inputs!$F$6)),A37-1)</f>
        <v/>
      </c>
      <c r="F37" s="2">
        <f>--(A37&lt;=(65-Inputs!$D$10+1))</f>
        <v/>
      </c>
      <c r="G37" s="2">
        <f>--(A37&lt;=(65-Inputs!$F$10+1))</f>
        <v/>
      </c>
      <c r="H37" s="2">
        <f>B37*D37*F37</f>
        <v/>
      </c>
      <c r="I37" s="2">
        <f>C37*E37*G37</f>
        <v/>
      </c>
    </row>
    <row r="38">
      <c r="A38" s="2" t="n">
        <v>37</v>
      </c>
      <c r="B38" s="2">
        <f>Inputs!$D$7-(Inputs!$D$7-Inputs!$D$8)*POWER((A38-1)/47,Inputs!$D$9)</f>
        <v/>
      </c>
      <c r="C38" s="2">
        <f>Inputs!$F$7-(Inputs!$F$7-Inputs!$F$8)*POWER((A38-1)/47,Inputs!$F$9)</f>
        <v/>
      </c>
      <c r="D38" s="2">
        <f>POWER(((1+Inputs!$D$5)/(1+Inputs!$D$6)),A38-1)</f>
        <v/>
      </c>
      <c r="E38" s="2">
        <f>POWER(((1+Inputs!$F$5)/(1+Inputs!$F$6)),A38-1)</f>
        <v/>
      </c>
      <c r="F38" s="2">
        <f>--(A38&lt;=(65-Inputs!$D$10+1))</f>
        <v/>
      </c>
      <c r="G38" s="2">
        <f>--(A38&lt;=(65-Inputs!$F$10+1))</f>
        <v/>
      </c>
      <c r="H38" s="2">
        <f>B38*D38*F38</f>
        <v/>
      </c>
      <c r="I38" s="2">
        <f>C38*E38*G38</f>
        <v/>
      </c>
    </row>
    <row r="39">
      <c r="A39" s="2" t="n">
        <v>38</v>
      </c>
      <c r="B39" s="2">
        <f>Inputs!$D$7-(Inputs!$D$7-Inputs!$D$8)*POWER((A39-1)/47,Inputs!$D$9)</f>
        <v/>
      </c>
      <c r="C39" s="2">
        <f>Inputs!$F$7-(Inputs!$F$7-Inputs!$F$8)*POWER((A39-1)/47,Inputs!$F$9)</f>
        <v/>
      </c>
      <c r="D39" s="2">
        <f>POWER(((1+Inputs!$D$5)/(1+Inputs!$D$6)),A39-1)</f>
        <v/>
      </c>
      <c r="E39" s="2">
        <f>POWER(((1+Inputs!$F$5)/(1+Inputs!$F$6)),A39-1)</f>
        <v/>
      </c>
      <c r="F39" s="2">
        <f>--(A39&lt;=(65-Inputs!$D$10+1))</f>
        <v/>
      </c>
      <c r="G39" s="2">
        <f>--(A39&lt;=(65-Inputs!$F$10+1))</f>
        <v/>
      </c>
      <c r="H39" s="2">
        <f>B39*D39*F39</f>
        <v/>
      </c>
      <c r="I39" s="2">
        <f>C39*E39*G39</f>
        <v/>
      </c>
    </row>
    <row r="40">
      <c r="A40" s="2" t="n">
        <v>39</v>
      </c>
      <c r="B40" s="2">
        <f>Inputs!$D$7-(Inputs!$D$7-Inputs!$D$8)*POWER((A40-1)/47,Inputs!$D$9)</f>
        <v/>
      </c>
      <c r="C40" s="2">
        <f>Inputs!$F$7-(Inputs!$F$7-Inputs!$F$8)*POWER((A40-1)/47,Inputs!$F$9)</f>
        <v/>
      </c>
      <c r="D40" s="2">
        <f>POWER(((1+Inputs!$D$5)/(1+Inputs!$D$6)),A40-1)</f>
        <v/>
      </c>
      <c r="E40" s="2">
        <f>POWER(((1+Inputs!$F$5)/(1+Inputs!$F$6)),A40-1)</f>
        <v/>
      </c>
      <c r="F40" s="2">
        <f>--(A40&lt;=(65-Inputs!$D$10+1))</f>
        <v/>
      </c>
      <c r="G40" s="2">
        <f>--(A40&lt;=(65-Inputs!$F$10+1))</f>
        <v/>
      </c>
      <c r="H40" s="2">
        <f>B40*D40*F40</f>
        <v/>
      </c>
      <c r="I40" s="2">
        <f>C40*E40*G40</f>
        <v/>
      </c>
    </row>
    <row r="41">
      <c r="A41" s="2" t="n">
        <v>40</v>
      </c>
      <c r="B41" s="2">
        <f>Inputs!$D$7-(Inputs!$D$7-Inputs!$D$8)*POWER((A41-1)/47,Inputs!$D$9)</f>
        <v/>
      </c>
      <c r="C41" s="2">
        <f>Inputs!$F$7-(Inputs!$F$7-Inputs!$F$8)*POWER((A41-1)/47,Inputs!$F$9)</f>
        <v/>
      </c>
      <c r="D41" s="2">
        <f>POWER(((1+Inputs!$D$5)/(1+Inputs!$D$6)),A41-1)</f>
        <v/>
      </c>
      <c r="E41" s="2">
        <f>POWER(((1+Inputs!$F$5)/(1+Inputs!$F$6)),A41-1)</f>
        <v/>
      </c>
      <c r="F41" s="2">
        <f>--(A41&lt;=(65-Inputs!$D$10+1))</f>
        <v/>
      </c>
      <c r="G41" s="2">
        <f>--(A41&lt;=(65-Inputs!$F$10+1))</f>
        <v/>
      </c>
      <c r="H41" s="2">
        <f>B41*D41*F41</f>
        <v/>
      </c>
      <c r="I41" s="2">
        <f>C41*E41*G41</f>
        <v/>
      </c>
    </row>
    <row r="42">
      <c r="A42" s="2" t="n">
        <v>41</v>
      </c>
      <c r="B42" s="2">
        <f>Inputs!$D$7-(Inputs!$D$7-Inputs!$D$8)*POWER((A42-1)/47,Inputs!$D$9)</f>
        <v/>
      </c>
      <c r="C42" s="2">
        <f>Inputs!$F$7-(Inputs!$F$7-Inputs!$F$8)*POWER((A42-1)/47,Inputs!$F$9)</f>
        <v/>
      </c>
      <c r="D42" s="2">
        <f>POWER(((1+Inputs!$D$5)/(1+Inputs!$D$6)),A42-1)</f>
        <v/>
      </c>
      <c r="E42" s="2">
        <f>POWER(((1+Inputs!$F$5)/(1+Inputs!$F$6)),A42-1)</f>
        <v/>
      </c>
      <c r="F42" s="2">
        <f>--(A42&lt;=(65-Inputs!$D$10+1))</f>
        <v/>
      </c>
      <c r="G42" s="2">
        <f>--(A42&lt;=(65-Inputs!$F$10+1))</f>
        <v/>
      </c>
      <c r="H42" s="2">
        <f>B42*D42*F42</f>
        <v/>
      </c>
      <c r="I42" s="2">
        <f>C42*E42*G42</f>
        <v/>
      </c>
    </row>
    <row r="43">
      <c r="A43" s="2" t="n">
        <v>42</v>
      </c>
      <c r="B43" s="2">
        <f>Inputs!$D$7-(Inputs!$D$7-Inputs!$D$8)*POWER((A43-1)/47,Inputs!$D$9)</f>
        <v/>
      </c>
      <c r="C43" s="2">
        <f>Inputs!$F$7-(Inputs!$F$7-Inputs!$F$8)*POWER((A43-1)/47,Inputs!$F$9)</f>
        <v/>
      </c>
      <c r="D43" s="2">
        <f>POWER(((1+Inputs!$D$5)/(1+Inputs!$D$6)),A43-1)</f>
        <v/>
      </c>
      <c r="E43" s="2">
        <f>POWER(((1+Inputs!$F$5)/(1+Inputs!$F$6)),A43-1)</f>
        <v/>
      </c>
      <c r="F43" s="2">
        <f>--(A43&lt;=(65-Inputs!$D$10+1))</f>
        <v/>
      </c>
      <c r="G43" s="2">
        <f>--(A43&lt;=(65-Inputs!$F$10+1))</f>
        <v/>
      </c>
      <c r="H43" s="2">
        <f>B43*D43*F43</f>
        <v/>
      </c>
      <c r="I43" s="2">
        <f>C43*E43*G43</f>
        <v/>
      </c>
    </row>
    <row r="44">
      <c r="A44" s="2" t="n">
        <v>43</v>
      </c>
      <c r="B44" s="2">
        <f>Inputs!$D$7-(Inputs!$D$7-Inputs!$D$8)*POWER((A44-1)/47,Inputs!$D$9)</f>
        <v/>
      </c>
      <c r="C44" s="2">
        <f>Inputs!$F$7-(Inputs!$F$7-Inputs!$F$8)*POWER((A44-1)/47,Inputs!$F$9)</f>
        <v/>
      </c>
      <c r="D44" s="2">
        <f>POWER(((1+Inputs!$D$5)/(1+Inputs!$D$6)),A44-1)</f>
        <v/>
      </c>
      <c r="E44" s="2">
        <f>POWER(((1+Inputs!$F$5)/(1+Inputs!$F$6)),A44-1)</f>
        <v/>
      </c>
      <c r="F44" s="2">
        <f>--(A44&lt;=(65-Inputs!$D$10+1))</f>
        <v/>
      </c>
      <c r="G44" s="2">
        <f>--(A44&lt;=(65-Inputs!$F$10+1))</f>
        <v/>
      </c>
      <c r="H44" s="2">
        <f>B44*D44*F44</f>
        <v/>
      </c>
      <c r="I44" s="2">
        <f>C44*E44*G44</f>
        <v/>
      </c>
    </row>
    <row r="45">
      <c r="A45" s="2" t="n">
        <v>44</v>
      </c>
      <c r="B45" s="2">
        <f>Inputs!$D$7-(Inputs!$D$7-Inputs!$D$8)*POWER((A45-1)/47,Inputs!$D$9)</f>
        <v/>
      </c>
      <c r="C45" s="2">
        <f>Inputs!$F$7-(Inputs!$F$7-Inputs!$F$8)*POWER((A45-1)/47,Inputs!$F$9)</f>
        <v/>
      </c>
      <c r="D45" s="2">
        <f>POWER(((1+Inputs!$D$5)/(1+Inputs!$D$6)),A45-1)</f>
        <v/>
      </c>
      <c r="E45" s="2">
        <f>POWER(((1+Inputs!$F$5)/(1+Inputs!$F$6)),A45-1)</f>
        <v/>
      </c>
      <c r="F45" s="2">
        <f>--(A45&lt;=(65-Inputs!$D$10+1))</f>
        <v/>
      </c>
      <c r="G45" s="2">
        <f>--(A45&lt;=(65-Inputs!$F$10+1))</f>
        <v/>
      </c>
      <c r="H45" s="2">
        <f>B45*D45*F45</f>
        <v/>
      </c>
      <c r="I45" s="2">
        <f>C45*E45*G45</f>
        <v/>
      </c>
    </row>
    <row r="46">
      <c r="A46" s="2" t="n">
        <v>45</v>
      </c>
      <c r="B46" s="2">
        <f>Inputs!$D$7-(Inputs!$D$7-Inputs!$D$8)*POWER((A46-1)/47,Inputs!$D$9)</f>
        <v/>
      </c>
      <c r="C46" s="2">
        <f>Inputs!$F$7-(Inputs!$F$7-Inputs!$F$8)*POWER((A46-1)/47,Inputs!$F$9)</f>
        <v/>
      </c>
      <c r="D46" s="2">
        <f>POWER(((1+Inputs!$D$5)/(1+Inputs!$D$6)),A46-1)</f>
        <v/>
      </c>
      <c r="E46" s="2">
        <f>POWER(((1+Inputs!$F$5)/(1+Inputs!$F$6)),A46-1)</f>
        <v/>
      </c>
      <c r="F46" s="2">
        <f>--(A46&lt;=(65-Inputs!$D$10+1))</f>
        <v/>
      </c>
      <c r="G46" s="2">
        <f>--(A46&lt;=(65-Inputs!$F$10+1))</f>
        <v/>
      </c>
      <c r="H46" s="2">
        <f>B46*D46*F46</f>
        <v/>
      </c>
      <c r="I46" s="2">
        <f>C46*E46*G46</f>
        <v/>
      </c>
    </row>
    <row r="47">
      <c r="A47" s="2" t="n">
        <v>46</v>
      </c>
      <c r="B47" s="2">
        <f>Inputs!$D$7-(Inputs!$D$7-Inputs!$D$8)*POWER((A47-1)/47,Inputs!$D$9)</f>
        <v/>
      </c>
      <c r="C47" s="2">
        <f>Inputs!$F$7-(Inputs!$F$7-Inputs!$F$8)*POWER((A47-1)/47,Inputs!$F$9)</f>
        <v/>
      </c>
      <c r="D47" s="2">
        <f>POWER(((1+Inputs!$D$5)/(1+Inputs!$D$6)),A47-1)</f>
        <v/>
      </c>
      <c r="E47" s="2">
        <f>POWER(((1+Inputs!$F$5)/(1+Inputs!$F$6)),A47-1)</f>
        <v/>
      </c>
      <c r="F47" s="2">
        <f>--(A47&lt;=(65-Inputs!$D$10+1))</f>
        <v/>
      </c>
      <c r="G47" s="2">
        <f>--(A47&lt;=(65-Inputs!$F$10+1))</f>
        <v/>
      </c>
      <c r="H47" s="2">
        <f>B47*D47*F47</f>
        <v/>
      </c>
      <c r="I47" s="2">
        <f>C47*E47*G47</f>
        <v/>
      </c>
    </row>
    <row r="48">
      <c r="A48" s="2" t="n">
        <v>47</v>
      </c>
      <c r="B48" s="2">
        <f>Inputs!$D$7-(Inputs!$D$7-Inputs!$D$8)*POWER((A48-1)/47,Inputs!$D$9)</f>
        <v/>
      </c>
      <c r="C48" s="2">
        <f>Inputs!$F$7-(Inputs!$F$7-Inputs!$F$8)*POWER((A48-1)/47,Inputs!$F$9)</f>
        <v/>
      </c>
      <c r="D48" s="2">
        <f>POWER(((1+Inputs!$D$5)/(1+Inputs!$D$6)),A48-1)</f>
        <v/>
      </c>
      <c r="E48" s="2">
        <f>POWER(((1+Inputs!$F$5)/(1+Inputs!$F$6)),A48-1)</f>
        <v/>
      </c>
      <c r="F48" s="2">
        <f>--(A48&lt;=(65-Inputs!$D$10+1))</f>
        <v/>
      </c>
      <c r="G48" s="2">
        <f>--(A48&lt;=(65-Inputs!$F$10+1))</f>
        <v/>
      </c>
      <c r="H48" s="2">
        <f>B48*D48*F48</f>
        <v/>
      </c>
      <c r="I48" s="2">
        <f>C48*E48*G48</f>
        <v/>
      </c>
    </row>
    <row r="49">
      <c r="A49" s="2" t="n">
        <v>48</v>
      </c>
      <c r="B49" s="2">
        <f>Inputs!$D$7-(Inputs!$D$7-Inputs!$D$8)*POWER((A49-1)/47,Inputs!$D$9)</f>
        <v/>
      </c>
      <c r="C49" s="2">
        <f>Inputs!$F$7-(Inputs!$F$7-Inputs!$F$8)*POWER((A49-1)/47,Inputs!$F$9)</f>
        <v/>
      </c>
      <c r="D49" s="2">
        <f>POWER(((1+Inputs!$D$5)/(1+Inputs!$D$6)),A49-1)</f>
        <v/>
      </c>
      <c r="E49" s="2">
        <f>POWER(((1+Inputs!$F$5)/(1+Inputs!$F$6)),A49-1)</f>
        <v/>
      </c>
      <c r="F49" s="2">
        <f>--(A49&lt;=(65-Inputs!$D$10+1))</f>
        <v/>
      </c>
      <c r="G49" s="2">
        <f>--(A49&lt;=(65-Inputs!$F$10+1))</f>
        <v/>
      </c>
      <c r="H49" s="2">
        <f>B49*D49*F49</f>
        <v/>
      </c>
      <c r="I49" s="2">
        <f>C49*E49*G49</f>
        <v/>
      </c>
    </row>
    <row r="50">
      <c r="A50" s="2" t="n">
        <v>49</v>
      </c>
      <c r="B50" s="2">
        <f>Inputs!$D$7-(Inputs!$D$7-Inputs!$D$8)*POWER((A50-1)/47,Inputs!$D$9)</f>
        <v/>
      </c>
      <c r="C50" s="2">
        <f>Inputs!$F$7-(Inputs!$F$7-Inputs!$F$8)*POWER((A50-1)/47,Inputs!$F$9)</f>
        <v/>
      </c>
      <c r="D50" s="2">
        <f>POWER(((1+Inputs!$D$5)/(1+Inputs!$D$6)),A50-1)</f>
        <v/>
      </c>
      <c r="E50" s="2">
        <f>POWER(((1+Inputs!$F$5)/(1+Inputs!$F$6)),A50-1)</f>
        <v/>
      </c>
      <c r="F50" s="2">
        <f>--(A50&lt;=(65-Inputs!$D$10+1))</f>
        <v/>
      </c>
      <c r="G50" s="2">
        <f>--(A50&lt;=(65-Inputs!$F$10+1))</f>
        <v/>
      </c>
      <c r="H50" s="2">
        <f>B50*D50*F50</f>
        <v/>
      </c>
      <c r="I50" s="2">
        <f>C50*E50*G50</f>
        <v/>
      </c>
    </row>
    <row r="51">
      <c r="A51" s="2" t="n">
        <v>50</v>
      </c>
      <c r="B51" s="2">
        <f>Inputs!$D$7-(Inputs!$D$7-Inputs!$D$8)*POWER((A51-1)/47,Inputs!$D$9)</f>
        <v/>
      </c>
      <c r="C51" s="2">
        <f>Inputs!$F$7-(Inputs!$F$7-Inputs!$F$8)*POWER((A51-1)/47,Inputs!$F$9)</f>
        <v/>
      </c>
      <c r="D51" s="2">
        <f>POWER(((1+Inputs!$D$5)/(1+Inputs!$D$6)),A51-1)</f>
        <v/>
      </c>
      <c r="E51" s="2">
        <f>POWER(((1+Inputs!$F$5)/(1+Inputs!$F$6)),A51-1)</f>
        <v/>
      </c>
      <c r="F51" s="2">
        <f>--(A51&lt;=(65-Inputs!$D$10+1))</f>
        <v/>
      </c>
      <c r="G51" s="2">
        <f>--(A51&lt;=(65-Inputs!$F$10+1))</f>
        <v/>
      </c>
      <c r="H51" s="2">
        <f>B51*D51*F51</f>
        <v/>
      </c>
      <c r="I51" s="2">
        <f>C51*E51*G51</f>
        <v/>
      </c>
    </row>
    <row r="52">
      <c r="A52" s="2" t="n">
        <v>51</v>
      </c>
      <c r="B52" s="2">
        <f>Inputs!$D$7-(Inputs!$D$7-Inputs!$D$8)*POWER((A52-1)/47,Inputs!$D$9)</f>
        <v/>
      </c>
      <c r="C52" s="2">
        <f>Inputs!$F$7-(Inputs!$F$7-Inputs!$F$8)*POWER((A52-1)/47,Inputs!$F$9)</f>
        <v/>
      </c>
      <c r="D52" s="2">
        <f>POWER(((1+Inputs!$D$5)/(1+Inputs!$D$6)),A52-1)</f>
        <v/>
      </c>
      <c r="E52" s="2">
        <f>POWER(((1+Inputs!$F$5)/(1+Inputs!$F$6)),A52-1)</f>
        <v/>
      </c>
      <c r="F52" s="2">
        <f>--(A52&lt;=(65-Inputs!$D$10+1))</f>
        <v/>
      </c>
      <c r="G52" s="2">
        <f>--(A52&lt;=(65-Inputs!$F$10+1))</f>
        <v/>
      </c>
      <c r="H52" s="2">
        <f>B52*D52*F52</f>
        <v/>
      </c>
      <c r="I52" s="2">
        <f>C52*E52*G52</f>
        <v/>
      </c>
    </row>
    <row r="53">
      <c r="A53" s="2" t="n">
        <v>52</v>
      </c>
      <c r="B53" s="2">
        <f>Inputs!$D$7-(Inputs!$D$7-Inputs!$D$8)*POWER((A53-1)/47,Inputs!$D$9)</f>
        <v/>
      </c>
      <c r="C53" s="2">
        <f>Inputs!$F$7-(Inputs!$F$7-Inputs!$F$8)*POWER((A53-1)/47,Inputs!$F$9)</f>
        <v/>
      </c>
      <c r="D53" s="2">
        <f>POWER(((1+Inputs!$D$5)/(1+Inputs!$D$6)),A53-1)</f>
        <v/>
      </c>
      <c r="E53" s="2">
        <f>POWER(((1+Inputs!$F$5)/(1+Inputs!$F$6)),A53-1)</f>
        <v/>
      </c>
      <c r="F53" s="2">
        <f>--(A53&lt;=(65-Inputs!$D$10+1))</f>
        <v/>
      </c>
      <c r="G53" s="2">
        <f>--(A53&lt;=(65-Inputs!$F$10+1))</f>
        <v/>
      </c>
      <c r="H53" s="2">
        <f>B53*D53*F53</f>
        <v/>
      </c>
      <c r="I53" s="2">
        <f>C53*E53*G53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3"/>
  <sheetViews>
    <sheetView workbookViewId="0">
      <pane ySplit="2" topLeftCell="A3" activePane="bottomLeft" state="frozen"/>
      <selection pane="bottomLeft" activeCell="A1" sqref="A1"/>
    </sheetView>
  </sheetViews>
  <sheetFormatPr baseColWidth="8" defaultRowHeight="15"/>
  <cols>
    <col width="58" customWidth="1" min="1" max="1"/>
    <col width="18" customWidth="1" min="2" max="2"/>
    <col width="18" customWidth="1" min="3" max="3"/>
    <col width="68" customWidth="1" min="4" max="4"/>
  </cols>
  <sheetData>
    <row r="1">
      <c r="A1" s="35" t="inlineStr">
        <is>
          <t>Detailed deterministic calculations (advanced users)</t>
        </is>
      </c>
      <c r="B1" s="17" t="n"/>
      <c r="C1" s="17" t="n"/>
      <c r="D1" s="17" t="n"/>
    </row>
    <row r="2">
      <c r="A2" s="36" t="inlineStr">
        <is>
          <t>Metric</t>
        </is>
      </c>
      <c r="B2" s="36" t="inlineStr">
        <is>
          <t>Workbook default</t>
        </is>
      </c>
      <c r="C2" s="36" t="inlineStr">
        <is>
          <t>Your local run</t>
        </is>
      </c>
      <c r="D2" s="36" t="inlineStr">
        <is>
          <t>Notes and units</t>
        </is>
      </c>
    </row>
    <row r="3">
      <c r="A3" s="17" t="inlineStr">
        <is>
          <t>Annual productivity anchor</t>
        </is>
      </c>
      <c r="B3" s="37">
        <f>Inputs!$D$3*Inputs!$D$4</f>
        <v/>
      </c>
      <c r="C3" s="37">
        <f>Inputs!$F$3*Inputs!$F$4</f>
        <v/>
      </c>
      <c r="D3" s="17" t="inlineStr">
        <is>
          <t>US$ per person-year. GDP PPP per capita x labour share of national income.</t>
        </is>
      </c>
    </row>
    <row r="4">
      <c r="A4" s="17" t="inlineStr">
        <is>
          <t>Growth-discount ratio (x)</t>
        </is>
      </c>
      <c r="B4" s="38">
        <f>((1+Inputs!$D$5)/(1+Inputs!$D$6))</f>
        <v/>
      </c>
      <c r="C4" s="38">
        <f>((1+Inputs!$F$5)/(1+Inputs!$F$6))</f>
        <v/>
      </c>
      <c r="D4" s="17" t="inlineStr">
        <is>
          <t>Unitless ratio = (1+growth)/(1+discount).</t>
        </is>
      </c>
    </row>
    <row r="5">
      <c r="A5" s="17" t="inlineStr">
        <is>
          <t>Present value of lifetime earnings</t>
        </is>
      </c>
      <c r="B5" s="37">
        <f>B3*POWER(B4,Inputs!$D$10)*SUM(PV_Helper!H2:H53)</f>
        <v/>
      </c>
      <c r="C5" s="37">
        <f>C3*POWER(C4,Inputs!$F$10)*SUM(PV_Helper!I2:I53)</f>
        <v/>
      </c>
      <c r="D5" s="17" t="inlineStr">
        <is>
          <t>US$ per child from birth.</t>
        </is>
      </c>
    </row>
    <row r="6">
      <c r="A6" s="17" t="inlineStr">
        <is>
          <t>Fixed programme cost per mother-child pair</t>
        </is>
      </c>
      <c r="B6" s="37">
        <f>Inputs!$D$24/Inputs!$D$25</f>
        <v/>
      </c>
      <c r="C6" s="37">
        <f>Inputs!$F$24/Inputs!$F$25</f>
        <v/>
      </c>
      <c r="D6" s="17" t="inlineStr">
        <is>
          <t>US$. Includes national and district fixed costs spread over births in the screening unit.</t>
        </is>
      </c>
    </row>
    <row r="7">
      <c r="A7" s="17" t="inlineStr">
        <is>
          <t>Value assigned to one DALY / life-year equivalent</t>
        </is>
      </c>
      <c r="B7" s="37">
        <f>Inputs!$D$65*B3</f>
        <v/>
      </c>
      <c r="C7" s="37">
        <f>Inputs!$F$65*C3</f>
        <v/>
      </c>
      <c r="D7" s="17" t="inlineStr">
        <is>
          <t>US$. Used only in the health-inclusive calculations.</t>
        </is>
      </c>
    </row>
    <row r="8">
      <c r="A8" s="17" t="inlineStr">
        <is>
          <t>Developmental share assigned to ages 2 to 5</t>
        </is>
      </c>
      <c r="B8" s="38">
        <f>1-Inputs!$D$54-Inputs!$D$55</f>
        <v/>
      </c>
      <c r="C8" s="38">
        <f>1-Inputs!$F$54-Inputs!$F$55</f>
        <v/>
      </c>
      <c r="D8" s="17" t="inlineStr">
        <is>
          <t>Share of total cognition-relevant exposure window.</t>
        </is>
      </c>
    </row>
    <row r="9">
      <c r="A9" s="17" t="inlineStr">
        <is>
          <t>Postnatal developmental weight applied to pot pathway</t>
        </is>
      </c>
      <c r="B9" s="38">
        <f>Inputs!$D$55*MIN(Inputs!$D$68,1)+B8*(MIN(MAX(Inputs!$D$68-1,0),4)/4)</f>
        <v/>
      </c>
      <c r="C9" s="38">
        <f>Inputs!$F$55*MIN(Inputs!$F$68,1)+C8*(MIN(MAX(Inputs!$F$68-1,0),4)/4)</f>
        <v/>
      </c>
      <c r="D9" s="17" t="inlineStr">
        <is>
          <t>Share of cognition-relevant window reached by the pot pathway.</t>
        </is>
      </c>
    </row>
    <row r="10">
      <c r="A10" s="17" t="inlineStr">
        <is>
          <t>Postnatal developmental weight applied to child utensils pathway</t>
        </is>
      </c>
      <c r="B10" s="38">
        <f>Inputs!$D$55*MIN(Inputs!$D$71,1)+B8*(MIN(MAX(Inputs!$D$71-1,0),4)/4)</f>
        <v/>
      </c>
      <c r="C10" s="38">
        <f>Inputs!$F$55*MIN(Inputs!$F$71,1)+C8*(MIN(MAX(Inputs!$F$71-1,0),4)/4)</f>
        <v/>
      </c>
      <c r="D10" s="17" t="inlineStr">
        <is>
          <t>Share of cognition-relevant window reached by the utensils pathway.</t>
        </is>
      </c>
    </row>
    <row r="11">
      <c r="A11" s="17" t="inlineStr">
        <is>
          <t>Postnatal developmental weight applied to infant kohl pathway</t>
        </is>
      </c>
      <c r="B11" s="38">
        <f>Inputs!$D$55*MIN(Inputs!$D$70,1)+B8*(MIN(MAX(Inputs!$D$70-1,0),4)/4)</f>
        <v/>
      </c>
      <c r="C11" s="38">
        <f>Inputs!$F$55*MIN(Inputs!$F$70,1)+C8*(MIN(MAX(Inputs!$F$70-1,0),4)/4)</f>
        <v/>
      </c>
      <c r="D11" s="17" t="inlineStr">
        <is>
          <t>Share of cognition-relevant window reached by the infant kohl pathway.</t>
        </is>
      </c>
    </row>
    <row r="12">
      <c r="A12" s="17" t="inlineStr"/>
      <c r="B12" s="38" t="n"/>
      <c r="C12" s="38" t="n"/>
      <c r="D12" s="17" t="n"/>
    </row>
    <row r="13">
      <c r="A13" s="19" t="inlineStr">
        <is>
          <t>Kitchen package</t>
        </is>
      </c>
      <c r="B13" s="39" t="n"/>
      <c r="C13" s="39" t="n"/>
      <c r="D13" s="21" t="inlineStr">
        <is>
          <t>Default and local deterministic runs</t>
        </is>
      </c>
    </row>
    <row r="14">
      <c r="A14" s="17" t="inlineStr">
        <is>
          <t>Kitchen: pot pathway success probability before residual unsafe-use penalty</t>
        </is>
      </c>
      <c r="B14" s="38">
        <f>Inputs!$D$27*Inputs!$D$32*Inputs!$D$38*Inputs!$D$39*Inputs!$D$40*Inputs!$D$41</f>
        <v/>
      </c>
      <c r="C14" s="38">
        <f>Inputs!$F$27*Inputs!$F$32*Inputs!$F$38*Inputs!$F$39*Inputs!$F$40*Inputs!$F$41</f>
        <v/>
      </c>
      <c r="D14" s="17" t="inlineStr">
        <is>
          <t>Probability.</t>
        </is>
      </c>
    </row>
    <row r="15">
      <c r="A15" s="17" t="inlineStr">
        <is>
          <t>Kitchen: pot pathway success probability after residual unsafe-use penalty</t>
        </is>
      </c>
      <c r="B15" s="38">
        <f>B14*(1-Inputs!$D$42)</f>
        <v/>
      </c>
      <c r="C15" s="38">
        <f>C14*(1-Inputs!$F$42)</f>
        <v/>
      </c>
      <c r="D15" s="17" t="inlineStr">
        <is>
          <t>Probability.</t>
        </is>
      </c>
    </row>
    <row r="16">
      <c r="A16" s="17" t="inlineStr">
        <is>
          <t>Kitchen: calcium pathway success probability</t>
        </is>
      </c>
      <c r="B16" s="38">
        <f>Inputs!$D$32*Inputs!$D$36*Inputs!$D$37</f>
        <v/>
      </c>
      <c r="C16" s="38">
        <f>Inputs!$F$32*Inputs!$F$36*Inputs!$F$37</f>
        <v/>
      </c>
      <c r="D16" s="17" t="inlineStr">
        <is>
          <t>Probability.</t>
        </is>
      </c>
    </row>
    <row r="17">
      <c r="A17" s="17" t="inlineStr">
        <is>
          <t>Kitchen: child-utensils pathway success probability</t>
        </is>
      </c>
      <c r="B17" s="38">
        <f>Inputs!$D$30*Inputs!$D$33*Inputs!$D$36*Inputs!$D$37</f>
        <v/>
      </c>
      <c r="C17" s="38">
        <f>Inputs!$F$30*Inputs!$F$33*Inputs!$F$36*Inputs!$F$37</f>
        <v/>
      </c>
      <c r="D17" s="17" t="inlineStr">
        <is>
          <t>Probability.</t>
        </is>
      </c>
    </row>
    <row r="18">
      <c r="A18" s="17" t="inlineStr">
        <is>
          <t>Kitchen: child BLL reduction from safe pot during active use</t>
        </is>
      </c>
      <c r="B18" s="38">
        <f>Inputs!$D$44*B15</f>
        <v/>
      </c>
      <c r="C18" s="38">
        <f>Inputs!$F$44*C15</f>
        <v/>
      </c>
      <c r="D18" s="17" t="inlineStr">
        <is>
          <t>ug/dL during intervention period.</t>
        </is>
      </c>
    </row>
    <row r="19">
      <c r="A19" s="17" t="inlineStr">
        <is>
          <t>Kitchen: maternal BLL reduction from safe pot during active use</t>
        </is>
      </c>
      <c r="B19" s="38">
        <f>Inputs!$D$45*B15</f>
        <v/>
      </c>
      <c r="C19" s="38">
        <f>Inputs!$F$45*C15</f>
        <v/>
      </c>
      <c r="D19" s="17" t="inlineStr">
        <is>
          <t>ug/dL during intervention period.</t>
        </is>
      </c>
    </row>
    <row r="20">
      <c r="A20" s="17" t="inlineStr">
        <is>
          <t>Kitchen: maternal BLL reduction from calcium during pregnancy</t>
        </is>
      </c>
      <c r="B20" s="38">
        <f>Inputs!$D$47*B16</f>
        <v/>
      </c>
      <c r="C20" s="38">
        <f>Inputs!$F$47*C16</f>
        <v/>
      </c>
      <c r="D20" s="17" t="inlineStr">
        <is>
          <t>ug/dL during intervention period.</t>
        </is>
      </c>
    </row>
    <row r="21">
      <c r="A21" s="17" t="inlineStr">
        <is>
          <t>Kitchen: child BLL reduction from safe utensils during active use</t>
        </is>
      </c>
      <c r="B21" s="38">
        <f>Inputs!$D$46*B17</f>
        <v/>
      </c>
      <c r="C21" s="38">
        <f>Inputs!$F$46*C17</f>
        <v/>
      </c>
      <c r="D21" s="17" t="inlineStr">
        <is>
          <t>ug/dL during intervention period.</t>
        </is>
      </c>
    </row>
    <row r="22">
      <c r="A22" s="17" t="inlineStr">
        <is>
          <t>Kitchen: fetal / prenatal child BLL reduction transmitted through the mother</t>
        </is>
      </c>
      <c r="B22" s="38">
        <f>Inputs!$D$53*(B19+B20)</f>
        <v/>
      </c>
      <c r="C22" s="38">
        <f>Inputs!$F$53*(C19+C20)</f>
        <v/>
      </c>
      <c r="D22" s="17" t="inlineStr">
        <is>
          <t>ug/dL equivalent.</t>
        </is>
      </c>
    </row>
    <row r="23">
      <c r="A23" s="17" t="inlineStr">
        <is>
          <t>Kitchen: total child BLL reduction during intervention period</t>
        </is>
      </c>
      <c r="B23" s="38">
        <f>B18+B21+B22</f>
        <v/>
      </c>
      <c r="C23" s="38">
        <f>C18+C21+C22</f>
        <v/>
      </c>
      <c r="D23" s="17" t="inlineStr">
        <is>
          <t>ug/dL across active pathways before developmental weighting.</t>
        </is>
      </c>
    </row>
    <row r="24">
      <c r="A24" s="17" t="inlineStr">
        <is>
          <t>Kitchen: developmentally weighted child BLL reduction used for cognition calculation</t>
        </is>
      </c>
      <c r="B24" s="38">
        <f>B22*Inputs!$D$54+B18*B9+B21*B10</f>
        <v/>
      </c>
      <c r="C24" s="38">
        <f>C22*Inputs!$F$54+C18*C9+C21*C10</f>
        <v/>
      </c>
      <c r="D24" s="17" t="inlineStr">
        <is>
          <t>ug/dL averaged over the relevant developmental window.</t>
        </is>
      </c>
    </row>
    <row r="25">
      <c r="A25" s="17" t="inlineStr">
        <is>
          <t>Kitchen: child IQ gain</t>
        </is>
      </c>
      <c r="B25" s="38">
        <f>B24*Inputs!$D$51</f>
        <v/>
      </c>
      <c r="C25" s="38">
        <f>C24*Inputs!$F$51</f>
        <v/>
      </c>
      <c r="D25" s="17" t="inlineStr">
        <is>
          <t>IQ points.</t>
        </is>
      </c>
    </row>
    <row r="26">
      <c r="A26" s="17" t="inlineStr">
        <is>
          <t>Kitchen: present value of lifetime earnings gain</t>
        </is>
      </c>
      <c r="B26" s="37">
        <f>B5*Inputs!$D$52*B25</f>
        <v/>
      </c>
      <c r="C26" s="37">
        <f>C5*Inputs!$F$52*C25</f>
        <v/>
      </c>
      <c r="D26" s="17" t="inlineStr">
        <is>
          <t>US$ per child.</t>
        </is>
      </c>
    </row>
    <row r="27">
      <c r="A27" s="17" t="inlineStr">
        <is>
          <t>Kitchen: preeclampsia cases averted per mother</t>
        </is>
      </c>
      <c r="B27" s="40">
        <f>Inputs!$D$57-((Inputs!$D$57/(1-Inputs!$D$57))/POWER(Inputs!$D$58,(B19+B20)*Inputs!$D$61))/(1+((Inputs!$D$57/(1-Inputs!$D$57))/POWER(Inputs!$D$58,(B19+B20)*Inputs!$D$61)))</f>
        <v/>
      </c>
      <c r="C27" s="40">
        <f>Inputs!$F$57-((Inputs!$F$57/(1-Inputs!$F$57))/POWER(Inputs!$F$58,(C19+C20)*Inputs!$F$61))/(1+((Inputs!$F$57/(1-Inputs!$F$57))/POWER(Inputs!$F$58,(C19+C20)*Inputs!$F$61)))</f>
        <v/>
      </c>
      <c r="D27" s="17" t="inlineStr">
        <is>
          <t>Probability change. Used only in the maternal/neonatal-health-inclusive BCR.</t>
        </is>
      </c>
    </row>
    <row r="28">
      <c r="A28" s="17" t="inlineStr">
        <is>
          <t>Kitchen: preterm births averted per mother</t>
        </is>
      </c>
      <c r="B28" s="40">
        <f>Inputs!$D$59-((Inputs!$D$59/(1-Inputs!$D$59))/POWER(Inputs!$D$60,(B19+B20)*Inputs!$D$62))/(1+((Inputs!$D$59/(1-Inputs!$D$59))/POWER(Inputs!$D$60,(B19+B20)*Inputs!$D$62)))</f>
        <v/>
      </c>
      <c r="C28" s="40">
        <f>Inputs!$F$59-((Inputs!$F$59/(1-Inputs!$F$59))/POWER(Inputs!$F$60,(C19+C20)*Inputs!$F$62))/(1+((Inputs!$F$59/(1-Inputs!$F$59))/POWER(Inputs!$F$60,(C19+C20)*Inputs!$F$62)))</f>
        <v/>
      </c>
      <c r="D28" s="17" t="inlineStr">
        <is>
          <t>Probability change. Used only in the maternal/neonatal-health-inclusive BCR.</t>
        </is>
      </c>
    </row>
    <row r="29">
      <c r="A29" s="17" t="inlineStr">
        <is>
          <t>Kitchen: maternal and neonatal health benefit</t>
        </is>
      </c>
      <c r="B29" s="37">
        <f>B27*Inputs!$D$66*B7+B28*Inputs!$D$63*B7</f>
        <v/>
      </c>
      <c r="C29" s="37">
        <f>C27*Inputs!$F$66*C7+C28*Inputs!$F$63*C7</f>
        <v/>
      </c>
      <c r="D29" s="17" t="inlineStr">
        <is>
          <t>US$. Added only in the maternal/neonatal-health-inclusive BCRs.</t>
        </is>
      </c>
    </row>
    <row r="30">
      <c r="A30" s="17" t="inlineStr">
        <is>
          <t>Kitchen: adult cardiovascular health benefit</t>
        </is>
      </c>
      <c r="B30" s="37">
        <f>((B19*Inputs!$D$68+B20*Inputs!$D$72)*Inputs!$D$64*B7*POWER(1+Inputs!$D$6,-MAX(0,Inputs!$D$73-Inputs!$D$11)))+(B18*Inputs!$D$64*Inputs!$D$68*B7*Inputs!$D$74*POWER(1+Inputs!$D$6,-MAX(0,Inputs!$D$73-Inputs!$D$12))*Inputs!$D$13)</f>
        <v/>
      </c>
      <c r="C30" s="37">
        <f>((C19*Inputs!$F$68+C20*Inputs!$F$72)*Inputs!$F$64*C7*POWER(1+Inputs!$F$6,-MAX(0,Inputs!$F$73-Inputs!$F$11)))+(C18*Inputs!$F$64*Inputs!$F$68*C7*Inputs!$F$74*POWER(1+Inputs!$F$6,-MAX(0,Inputs!$F$73-Inputs!$F$12))*Inputs!$F$13)</f>
        <v/>
      </c>
      <c r="D30" s="17" t="inlineStr">
        <is>
          <t>US$. Added only in the total BCR.</t>
        </is>
      </c>
    </row>
    <row r="31">
      <c r="A31" s="17" t="inlineStr">
        <is>
          <t>Kitchen: total programme cost per mother-child pair</t>
        </is>
      </c>
      <c r="B31" s="37">
        <f>B6+Inputs!$D$20*Inputs!$D$32+(Inputs!$D$15+Inputs!$D$21)*(1+Inputs!$D$23)*Inputs!$D$32*Inputs!$D$38*Inputs!$D$39*Inputs!$D$40+Inputs!$D$20*Inputs!$D$32+Inputs!$D$22*(1+Inputs!$D$23)*Inputs!$D$32*Inputs!$D$36+Inputs!$D$17*(1+Inputs!$D$23)*Inputs!$D$32*Inputs!$D$36+Inputs!$D$20*Inputs!$D$33+Inputs!$D$22*(1+Inputs!$D$23)*Inputs!$D$33*Inputs!$D$36+Inputs!$D$16*(1+Inputs!$D$23)*Inputs!$D$33*Inputs!$D$36</f>
        <v/>
      </c>
      <c r="C31" s="37">
        <f>C6+Inputs!$F$20*Inputs!$F$32+(Inputs!$F$15+Inputs!$F$21)*(1+Inputs!$F$23)*Inputs!$F$32*Inputs!$F$38*Inputs!$F$39*Inputs!$F$40+Inputs!$F$20*Inputs!$F$32+Inputs!$F$22*(1+Inputs!$F$23)*Inputs!$F$32*Inputs!$F$36+Inputs!$F$17*(1+Inputs!$F$23)*Inputs!$F$32*Inputs!$F$36+Inputs!$F$20*Inputs!$F$33+Inputs!$F$22*(1+Inputs!$F$23)*Inputs!$F$33*Inputs!$F$36+Inputs!$F$16*(1+Inputs!$F$23)*Inputs!$F$33*Inputs!$F$36</f>
        <v/>
      </c>
      <c r="D31" s="17" t="inlineStr">
        <is>
          <t>US$. Includes fixed costs plus variable programme costs.</t>
        </is>
      </c>
    </row>
    <row r="32">
      <c r="A32" s="17" t="inlineStr">
        <is>
          <t>Kitchen: benefit-cost ratio, cognition channel only</t>
        </is>
      </c>
      <c r="B32" s="38">
        <f>B26/B31</f>
        <v/>
      </c>
      <c r="C32" s="38">
        <f>C26/C31</f>
        <v/>
      </c>
      <c r="D32" s="17" t="inlineStr">
        <is>
          <t>Ratio.</t>
        </is>
      </c>
    </row>
    <row r="33">
      <c r="A33" s="17" t="inlineStr">
        <is>
          <t>Kitchen: benefit-cost ratio, cognition plus maternal and neonatal health channels</t>
        </is>
      </c>
      <c r="B33" s="38">
        <f>(B26+B29)/B31</f>
        <v/>
      </c>
      <c r="C33" s="38">
        <f>(C26+C29)/C31</f>
        <v/>
      </c>
      <c r="D33" s="17" t="inlineStr">
        <is>
          <t>Ratio.</t>
        </is>
      </c>
    </row>
    <row r="34">
      <c r="A34" s="17" t="inlineStr">
        <is>
          <t>Kitchen: benefit-cost ratio, cognition, maternal/neonatal, and cardiovascular health channels</t>
        </is>
      </c>
      <c r="B34" s="38">
        <f>(B26+B29+B30)/B31</f>
        <v/>
      </c>
      <c r="C34" s="38">
        <f>(C26+C29+C30)/C31</f>
        <v/>
      </c>
      <c r="D34" s="17" t="inlineStr">
        <is>
          <t>Ratio.</t>
        </is>
      </c>
    </row>
    <row r="35">
      <c r="A35" s="17" t="inlineStr"/>
      <c r="B35" s="38" t="n"/>
      <c r="C35" s="38" t="n"/>
      <c r="D35" s="17" t="n"/>
    </row>
    <row r="36">
      <c r="A36" s="19" t="inlineStr">
        <is>
          <t>Kohl package</t>
        </is>
      </c>
      <c r="B36" s="39" t="n"/>
      <c r="C36" s="39" t="n"/>
      <c r="D36" s="21" t="inlineStr">
        <is>
          <t>Default and local deterministic runs</t>
        </is>
      </c>
    </row>
    <row r="37">
      <c r="A37" s="17" t="inlineStr">
        <is>
          <t>Kohl: maternal-kohl pathway success probability</t>
        </is>
      </c>
      <c r="B37" s="38">
        <f>Inputs!$D$28*Inputs!$D$32*Inputs!$D$36*Inputs!$D$37</f>
        <v/>
      </c>
      <c r="C37" s="38">
        <f>Inputs!$F$28*Inputs!$F$32*Inputs!$F$36*Inputs!$F$37</f>
        <v/>
      </c>
      <c r="D37" s="17" t="inlineStr">
        <is>
          <t>Probability.</t>
        </is>
      </c>
    </row>
    <row r="38">
      <c r="A38" s="17" t="inlineStr">
        <is>
          <t>Kohl: infant-kohl pathway success probability</t>
        </is>
      </c>
      <c r="B38" s="38">
        <f>Inputs!$D$29*Inputs!$D$35*Inputs!$D$36*Inputs!$D$37</f>
        <v/>
      </c>
      <c r="C38" s="38">
        <f>Inputs!$F$29*Inputs!$F$35*Inputs!$F$36*Inputs!$F$37</f>
        <v/>
      </c>
      <c r="D38" s="17" t="inlineStr">
        <is>
          <t>Probability.</t>
        </is>
      </c>
    </row>
    <row r="39">
      <c r="A39" s="17" t="inlineStr">
        <is>
          <t>Kohl: maternal BLL reduction from safe maternal kohl</t>
        </is>
      </c>
      <c r="B39" s="38">
        <f>Inputs!$D$48*B37</f>
        <v/>
      </c>
      <c r="C39" s="38">
        <f>Inputs!$F$48*C37</f>
        <v/>
      </c>
      <c r="D39" s="17" t="inlineStr">
        <is>
          <t>ug/dL during intervention period.</t>
        </is>
      </c>
    </row>
    <row r="40">
      <c r="A40" s="17" t="inlineStr">
        <is>
          <t>Kohl: child BLL reduction from safe infant kohl</t>
        </is>
      </c>
      <c r="B40" s="38">
        <f>Inputs!$D$49*B38</f>
        <v/>
      </c>
      <c r="C40" s="38">
        <f>Inputs!$F$49*C38</f>
        <v/>
      </c>
      <c r="D40" s="17" t="inlineStr">
        <is>
          <t>ug/dL during intervention period.</t>
        </is>
      </c>
    </row>
    <row r="41">
      <c r="A41" s="17" t="inlineStr">
        <is>
          <t>Kohl: fetal / prenatal child BLL reduction transmitted through the mother</t>
        </is>
      </c>
      <c r="B41" s="38">
        <f>Inputs!$D$53*B39</f>
        <v/>
      </c>
      <c r="C41" s="38">
        <f>Inputs!$F$53*C39</f>
        <v/>
      </c>
      <c r="D41" s="17" t="inlineStr">
        <is>
          <t>ug/dL equivalent.</t>
        </is>
      </c>
    </row>
    <row r="42">
      <c r="A42" s="17" t="inlineStr">
        <is>
          <t>Kohl: total child BLL reduction during intervention period</t>
        </is>
      </c>
      <c r="B42" s="38">
        <f>B41+B40</f>
        <v/>
      </c>
      <c r="C42" s="38">
        <f>C41+C40</f>
        <v/>
      </c>
      <c r="D42" s="17" t="inlineStr">
        <is>
          <t>ug/dL across active pathways before developmental weighting.</t>
        </is>
      </c>
    </row>
    <row r="43">
      <c r="A43" s="17" t="inlineStr">
        <is>
          <t>Kohl: developmentally weighted child BLL reduction used for cognition calculation</t>
        </is>
      </c>
      <c r="B43" s="38">
        <f>B41*Inputs!$D$54+B40*B11</f>
        <v/>
      </c>
      <c r="C43" s="38">
        <f>C41*Inputs!$F$54+C40*C11</f>
        <v/>
      </c>
      <c r="D43" s="17" t="inlineStr">
        <is>
          <t>ug/dL averaged over the relevant developmental window.</t>
        </is>
      </c>
    </row>
    <row r="44">
      <c r="A44" s="17" t="inlineStr">
        <is>
          <t>Kohl: child IQ gain</t>
        </is>
      </c>
      <c r="B44" s="38">
        <f>B43*Inputs!$D$51</f>
        <v/>
      </c>
      <c r="C44" s="38">
        <f>C43*Inputs!$F$51</f>
        <v/>
      </c>
      <c r="D44" s="17" t="inlineStr">
        <is>
          <t>IQ points.</t>
        </is>
      </c>
    </row>
    <row r="45">
      <c r="A45" s="17" t="inlineStr">
        <is>
          <t>Kohl: present value of lifetime earnings gain</t>
        </is>
      </c>
      <c r="B45" s="37">
        <f>B5*Inputs!$D$52*B44</f>
        <v/>
      </c>
      <c r="C45" s="37">
        <f>C5*Inputs!$F$52*C44</f>
        <v/>
      </c>
      <c r="D45" s="17" t="inlineStr">
        <is>
          <t>US$ per child.</t>
        </is>
      </c>
    </row>
    <row r="46">
      <c r="A46" s="17" t="inlineStr">
        <is>
          <t>Kohl: preeclampsia cases averted per mother</t>
        </is>
      </c>
      <c r="B46" s="40">
        <f>Inputs!$D$57-((Inputs!$D$57/(1-Inputs!$D$57))/POWER(Inputs!$D$58,B39*Inputs!$D$61))/(1+((Inputs!$D$57/(1-Inputs!$D$57))/POWER(Inputs!$D$58,B39*Inputs!$D$61)))</f>
        <v/>
      </c>
      <c r="C46" s="40">
        <f>Inputs!$F$57-((Inputs!$F$57/(1-Inputs!$F$57))/POWER(Inputs!$F$58,C39*Inputs!$F$61))/(1+((Inputs!$F$57/(1-Inputs!$F$57))/POWER(Inputs!$F$58,C39*Inputs!$F$61)))</f>
        <v/>
      </c>
      <c r="D46" s="17" t="inlineStr">
        <is>
          <t>Probability change. Used only in the maternal/neonatal-health-inclusive BCR.</t>
        </is>
      </c>
    </row>
    <row r="47">
      <c r="A47" s="17" t="inlineStr">
        <is>
          <t>Kohl: preterm births averted per mother</t>
        </is>
      </c>
      <c r="B47" s="40">
        <f>Inputs!$D$59-((Inputs!$D$59/(1-Inputs!$D$59))/POWER(Inputs!$D$60,B39*Inputs!$D$62))/(1+((Inputs!$D$59/(1-Inputs!$D$59))/POWER(Inputs!$D$60,B39*Inputs!$D$62)))</f>
        <v/>
      </c>
      <c r="C47" s="40">
        <f>Inputs!$F$59-((Inputs!$F$59/(1-Inputs!$F$59))/POWER(Inputs!$F$60,C39*Inputs!$F$62))/(1+((Inputs!$F$59/(1-Inputs!$F$59))/POWER(Inputs!$F$60,C39*Inputs!$F$62)))</f>
        <v/>
      </c>
      <c r="D47" s="17" t="inlineStr">
        <is>
          <t>Probability change. Used only in the maternal/neonatal-health-inclusive BCR.</t>
        </is>
      </c>
    </row>
    <row r="48">
      <c r="A48" s="17" t="inlineStr">
        <is>
          <t>Kohl: maternal and neonatal health benefit</t>
        </is>
      </c>
      <c r="B48" s="37">
        <f>B46*Inputs!$D$66*B7+B47*Inputs!$D$63*B7</f>
        <v/>
      </c>
      <c r="C48" s="37">
        <f>C46*Inputs!$F$66*C7+C47*Inputs!$F$63*C7</f>
        <v/>
      </c>
      <c r="D48" s="17" t="inlineStr">
        <is>
          <t>US$. Added only in the maternal/neonatal-health-inclusive BCRs.</t>
        </is>
      </c>
    </row>
    <row r="49">
      <c r="A49" s="17" t="inlineStr">
        <is>
          <t>Kohl: adult cardiovascular health benefit</t>
        </is>
      </c>
      <c r="B49" s="37">
        <f>B39*Inputs!$D$64*Inputs!$D$69*B7*POWER(1+Inputs!$D$6,-MAX(0,Inputs!$D$73-Inputs!$D$11))</f>
        <v/>
      </c>
      <c r="C49" s="37">
        <f>C39*Inputs!$F$64*Inputs!$F$69*C7*POWER(1+Inputs!$F$6,-MAX(0,Inputs!$F$73-Inputs!$F$11))</f>
        <v/>
      </c>
      <c r="D49" s="17" t="inlineStr">
        <is>
          <t>US$. Added only in the total BCR.</t>
        </is>
      </c>
    </row>
    <row r="50">
      <c r="A50" s="17" t="inlineStr">
        <is>
          <t>Kohl: total programme cost per mother-child pair</t>
        </is>
      </c>
      <c r="B50" s="37">
        <f>B6+Inputs!$D$20*Inputs!$D$32+Inputs!$D$22*(1+Inputs!$D$23)*Inputs!$D$32*Inputs!$D$36+Inputs!$D$18*(1+Inputs!$D$23)*Inputs!$D$32*Inputs!$D$36+Inputs!$D$20*Inputs!$D$35+Inputs!$D$22*(1+Inputs!$D$23)*Inputs!$D$35*Inputs!$D$36+Inputs!$D$19*(1+Inputs!$D$23)*Inputs!$D$35*Inputs!$D$36</f>
        <v/>
      </c>
      <c r="C50" s="37">
        <f>C6+Inputs!$F$20*Inputs!$F$32+Inputs!$F$22*(1+Inputs!$F$23)*Inputs!$F$32*Inputs!$F$36+Inputs!$F$18*(1+Inputs!$F$23)*Inputs!$F$32*Inputs!$F$36+Inputs!$F$20*Inputs!$F$35+Inputs!$F$22*(1+Inputs!$F$23)*Inputs!$F$35*Inputs!$F$36+Inputs!$F$19*(1+Inputs!$F$23)*Inputs!$F$35*Inputs!$F$36</f>
        <v/>
      </c>
      <c r="D50" s="17" t="inlineStr">
        <is>
          <t>US$. Includes fixed costs plus variable programme costs.</t>
        </is>
      </c>
    </row>
    <row r="51">
      <c r="A51" s="17" t="inlineStr">
        <is>
          <t>Kohl: benefit-cost ratio, cognition channel only</t>
        </is>
      </c>
      <c r="B51" s="38">
        <f>B45/B50</f>
        <v/>
      </c>
      <c r="C51" s="38">
        <f>C45/C50</f>
        <v/>
      </c>
      <c r="D51" s="17" t="inlineStr">
        <is>
          <t>Ratio.</t>
        </is>
      </c>
    </row>
    <row r="52">
      <c r="A52" s="17" t="inlineStr">
        <is>
          <t>Kohl: benefit-cost ratio, cognition plus maternal and neonatal health channels</t>
        </is>
      </c>
      <c r="B52" s="38">
        <f>(B45+B48)/B50</f>
        <v/>
      </c>
      <c r="C52" s="38">
        <f>(C45+C48)/C50</f>
        <v/>
      </c>
      <c r="D52" s="17" t="inlineStr">
        <is>
          <t>Ratio.</t>
        </is>
      </c>
    </row>
    <row r="53">
      <c r="A53" s="17" t="inlineStr">
        <is>
          <t>Kohl: benefit-cost ratio, cognition, maternal/neonatal, and cardiovascular health channels</t>
        </is>
      </c>
      <c r="B53" s="38">
        <f>(B45+B48+B49)/B50</f>
        <v/>
      </c>
      <c r="C53" s="38">
        <f>(C45+C48+C49)/C50</f>
        <v/>
      </c>
      <c r="D53" s="17" t="inlineStr">
        <is>
          <t>Ratio.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62" customWidth="1" min="1" max="1"/>
    <col width="12" customWidth="1" min="2" max="2"/>
    <col width="19" customWidth="1" min="3" max="3"/>
    <col width="19" customWidth="1" min="4" max="4"/>
    <col width="19" customWidth="1" min="5" max="5"/>
    <col width="19" customWidth="1" min="6" max="6"/>
    <col width="18" customWidth="1" min="7" max="7"/>
    <col width="14" customWidth="1" min="8" max="8"/>
    <col width="18" customWidth="1" min="9" max="9"/>
    <col width="14" customWidth="1" min="10" max="10"/>
  </cols>
  <sheetData>
    <row r="1">
      <c r="A1" s="36" t="inlineStr">
        <is>
          <t>Output</t>
        </is>
      </c>
      <c r="B1" s="36" t="inlineStr">
        <is>
          <t>Units</t>
        </is>
      </c>
      <c r="C1" s="36" t="inlineStr">
        <is>
          <t>Workbook default: Kitchen</t>
        </is>
      </c>
      <c r="D1" s="36" t="inlineStr">
        <is>
          <t>Your local run: Kitchen</t>
        </is>
      </c>
      <c r="E1" s="36" t="inlineStr">
        <is>
          <t>Workbook default: Kohl</t>
        </is>
      </c>
      <c r="F1" s="36" t="inlineStr">
        <is>
          <t>Your local run: Kohl</t>
        </is>
      </c>
      <c r="G1" s="36" t="inlineStr">
        <is>
          <t>Delta Kitchen (local-default)</t>
        </is>
      </c>
      <c r="H1" s="36" t="inlineStr">
        <is>
          <t>Delta Kitchen (%)</t>
        </is>
      </c>
      <c r="I1" s="36" t="inlineStr">
        <is>
          <t>Delta Kohl (local-default)</t>
        </is>
      </c>
      <c r="J1" s="36" t="inlineStr">
        <is>
          <t>Delta Kohl (%)</t>
        </is>
      </c>
    </row>
    <row r="2">
      <c r="A2" s="19" t="inlineStr">
        <is>
          <t>Direct outcomes</t>
        </is>
      </c>
      <c r="B2" s="19" t="inlineStr"/>
      <c r="C2" s="19" t="inlineStr"/>
      <c r="D2" s="19" t="inlineStr"/>
      <c r="E2" s="19" t="inlineStr"/>
      <c r="F2" s="19" t="inlineStr"/>
      <c r="G2" s="19" t="inlineStr"/>
      <c r="H2" s="19" t="inlineStr"/>
      <c r="I2" s="19" t="inlineStr"/>
      <c r="J2" s="19" t="inlineStr"/>
    </row>
    <row r="3">
      <c r="A3" s="17" t="inlineStr">
        <is>
          <t>Cost per mother-child pair (including fixed and variable programme costs)</t>
        </is>
      </c>
      <c r="B3" s="17" t="inlineStr">
        <is>
          <t>US$</t>
        </is>
      </c>
      <c r="C3" s="37">
        <f>Results!$B$31</f>
        <v/>
      </c>
      <c r="D3" s="37">
        <f>Results!$C$31</f>
        <v/>
      </c>
      <c r="E3" s="37">
        <f>Results!$B$50</f>
        <v/>
      </c>
      <c r="F3" s="37">
        <f>Results!$C$50</f>
        <v/>
      </c>
      <c r="G3" s="37">
        <f>D3-C3</f>
        <v/>
      </c>
      <c r="H3" s="41">
        <f>IFERROR((D3-C3)/C3,0)</f>
        <v/>
      </c>
      <c r="I3" s="37">
        <f>F3-E3</f>
        <v/>
      </c>
      <c r="J3" s="41">
        <f>IFERROR((F3-E3)/E3,0)</f>
        <v/>
      </c>
    </row>
    <row r="4">
      <c r="A4" s="17" t="inlineStr">
        <is>
          <t>Present value of lifetime earnings gain per child</t>
        </is>
      </c>
      <c r="B4" s="17" t="inlineStr">
        <is>
          <t>US$</t>
        </is>
      </c>
      <c r="C4" s="37">
        <f>Results!$B$26</f>
        <v/>
      </c>
      <c r="D4" s="37">
        <f>Results!$C$26</f>
        <v/>
      </c>
      <c r="E4" s="37">
        <f>Results!$B$45</f>
        <v/>
      </c>
      <c r="F4" s="37">
        <f>Results!$C$45</f>
        <v/>
      </c>
      <c r="G4" s="37">
        <f>D4-C4</f>
        <v/>
      </c>
      <c r="H4" s="41">
        <f>IFERROR((D4-C4)/C4,0)</f>
        <v/>
      </c>
      <c r="I4" s="37">
        <f>F4-E4</f>
        <v/>
      </c>
      <c r="J4" s="41">
        <f>IFERROR((F4-E4)/E4,0)</f>
        <v/>
      </c>
    </row>
    <row r="5">
      <c r="A5" s="17" t="inlineStr">
        <is>
          <t>Child BLL reduction during intervention period</t>
        </is>
      </c>
      <c r="B5" s="17" t="inlineStr">
        <is>
          <t>ug/dL</t>
        </is>
      </c>
      <c r="C5" s="38">
        <f>Results!$B$23</f>
        <v/>
      </c>
      <c r="D5" s="38">
        <f>Results!$C$23</f>
        <v/>
      </c>
      <c r="E5" s="38">
        <f>Results!$B$42</f>
        <v/>
      </c>
      <c r="F5" s="38">
        <f>Results!$C$42</f>
        <v/>
      </c>
      <c r="G5" s="38">
        <f>D5-C5</f>
        <v/>
      </c>
      <c r="H5" s="41">
        <f>IFERROR((D5-C5)/C5,0)</f>
        <v/>
      </c>
      <c r="I5" s="38">
        <f>F5-E5</f>
        <v/>
      </c>
      <c r="J5" s="41">
        <f>IFERROR((F5-E5)/E5,0)</f>
        <v/>
      </c>
    </row>
    <row r="6">
      <c r="A6" s="17" t="inlineStr">
        <is>
          <t>Developmentally weighted child BLL reduction used for cognition calculation</t>
        </is>
      </c>
      <c r="B6" s="17" t="inlineStr">
        <is>
          <t>ug/dL</t>
        </is>
      </c>
      <c r="C6" s="38">
        <f>Results!$B$24</f>
        <v/>
      </c>
      <c r="D6" s="38">
        <f>Results!$C$24</f>
        <v/>
      </c>
      <c r="E6" s="38">
        <f>Results!$B$43</f>
        <v/>
      </c>
      <c r="F6" s="38">
        <f>Results!$C$43</f>
        <v/>
      </c>
      <c r="G6" s="38">
        <f>D6-C6</f>
        <v/>
      </c>
      <c r="H6" s="41">
        <f>IFERROR((D6-C6)/C6,0)</f>
        <v/>
      </c>
      <c r="I6" s="38">
        <f>F6-E6</f>
        <v/>
      </c>
      <c r="J6" s="41">
        <f>IFERROR((F6-E6)/E6,0)</f>
        <v/>
      </c>
    </row>
    <row r="7">
      <c r="A7" s="17" t="inlineStr">
        <is>
          <t>Child IQ gain</t>
        </is>
      </c>
      <c r="B7" s="17" t="inlineStr">
        <is>
          <t>IQ points</t>
        </is>
      </c>
      <c r="C7" s="38">
        <f>Results!$B$25</f>
        <v/>
      </c>
      <c r="D7" s="38">
        <f>Results!$C$25</f>
        <v/>
      </c>
      <c r="E7" s="38">
        <f>Results!$B$44</f>
        <v/>
      </c>
      <c r="F7" s="38">
        <f>Results!$C$44</f>
        <v/>
      </c>
      <c r="G7" s="38">
        <f>D7-C7</f>
        <v/>
      </c>
      <c r="H7" s="41">
        <f>IFERROR((D7-C7)/C7,0)</f>
        <v/>
      </c>
      <c r="I7" s="38">
        <f>F7-E7</f>
        <v/>
      </c>
      <c r="J7" s="41">
        <f>IFERROR((F7-E7)/E7,0)</f>
        <v/>
      </c>
    </row>
    <row r="8">
      <c r="A8" s="17" t="inlineStr"/>
      <c r="B8" s="17" t="inlineStr"/>
      <c r="C8" s="38" t="inlineStr"/>
      <c r="D8" s="38" t="inlineStr"/>
      <c r="E8" s="38" t="inlineStr"/>
      <c r="F8" s="38" t="inlineStr"/>
      <c r="G8" s="38" t="inlineStr"/>
      <c r="H8" s="17" t="inlineStr"/>
      <c r="I8" s="38" t="inlineStr"/>
      <c r="J8" s="17" t="inlineStr"/>
    </row>
    <row r="9">
      <c r="A9" s="19" t="inlineStr">
        <is>
          <t>Benefit-cost ratios</t>
        </is>
      </c>
      <c r="B9" s="19" t="inlineStr"/>
      <c r="C9" s="19" t="inlineStr"/>
      <c r="D9" s="19" t="inlineStr"/>
      <c r="E9" s="19" t="inlineStr"/>
      <c r="F9" s="19" t="inlineStr"/>
      <c r="G9" s="19" t="inlineStr"/>
      <c r="H9" s="19" t="inlineStr"/>
      <c r="I9" s="19" t="inlineStr"/>
      <c r="J9" s="19" t="inlineStr"/>
    </row>
    <row r="10">
      <c r="A10" s="17" t="inlineStr">
        <is>
          <t>Benefit-cost ratio, cognition channel only</t>
        </is>
      </c>
      <c r="B10" s="17" t="inlineStr">
        <is>
          <t>Ratio</t>
        </is>
      </c>
      <c r="C10" s="38">
        <f>Results!$B$32</f>
        <v/>
      </c>
      <c r="D10" s="38">
        <f>Results!$C$32</f>
        <v/>
      </c>
      <c r="E10" s="38">
        <f>Results!$B$51</f>
        <v/>
      </c>
      <c r="F10" s="38">
        <f>Results!$C$51</f>
        <v/>
      </c>
      <c r="G10" s="38">
        <f>D10-C10</f>
        <v/>
      </c>
      <c r="H10" s="41">
        <f>IFERROR((D10-C10)/C10,0)</f>
        <v/>
      </c>
      <c r="I10" s="38">
        <f>F10-E10</f>
        <v/>
      </c>
      <c r="J10" s="41">
        <f>IFERROR((F10-E10)/E10,0)</f>
        <v/>
      </c>
    </row>
    <row r="11">
      <c r="A11" s="17" t="inlineStr">
        <is>
          <t>Benefit-cost ratio, cognition plus maternal and neonatal health channels</t>
        </is>
      </c>
      <c r="B11" s="17" t="inlineStr">
        <is>
          <t>Ratio</t>
        </is>
      </c>
      <c r="C11" s="38">
        <f>Results!$B$33</f>
        <v/>
      </c>
      <c r="D11" s="38">
        <f>Results!$C$33</f>
        <v/>
      </c>
      <c r="E11" s="38">
        <f>Results!$B$52</f>
        <v/>
      </c>
      <c r="F11" s="38">
        <f>Results!$C$52</f>
        <v/>
      </c>
      <c r="G11" s="38">
        <f>D11-C11</f>
        <v/>
      </c>
      <c r="H11" s="41">
        <f>IFERROR((D11-C11)/C11,0)</f>
        <v/>
      </c>
      <c r="I11" s="38">
        <f>F11-E11</f>
        <v/>
      </c>
      <c r="J11" s="41">
        <f>IFERROR((F11-E11)/E11,0)</f>
        <v/>
      </c>
    </row>
    <row r="12">
      <c r="A12" s="17" t="inlineStr">
        <is>
          <t>Benefit-cost ratio, cognition, maternal/neonatal health, and cardiovascular health channels</t>
        </is>
      </c>
      <c r="B12" s="17" t="inlineStr">
        <is>
          <t>Ratio</t>
        </is>
      </c>
      <c r="C12" s="38">
        <f>Results!$B$34</f>
        <v/>
      </c>
      <c r="D12" s="38">
        <f>Results!$C$34</f>
        <v/>
      </c>
      <c r="E12" s="38">
        <f>Results!$B$53</f>
        <v/>
      </c>
      <c r="F12" s="38">
        <f>Results!$C$53</f>
        <v/>
      </c>
      <c r="G12" s="38">
        <f>D12-C12</f>
        <v/>
      </c>
      <c r="H12" s="41">
        <f>IFERROR((D12-C12)/C12,0)</f>
        <v/>
      </c>
      <c r="I12" s="38">
        <f>F12-E12</f>
        <v/>
      </c>
      <c r="J12" s="41">
        <f>IFERROR((F12-E12)/E12,0)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2026-04-27T21:01:26Z</dcterms:created>
  <dcterms:modified xsi:type="dcterms:W3CDTF">2026-04-27T21:06:20Z</dcterms:modified>
</cp:coreProperties>
</file>