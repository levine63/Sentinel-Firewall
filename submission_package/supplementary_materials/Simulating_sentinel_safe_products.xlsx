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nputs" sheetId="2" state="visible" r:id="rId2"/>
    <sheet name="Formula_Guide" sheetId="3" state="visible" r:id="rId3"/>
    <sheet name="PV_Helper" sheetId="4" state="visible" r:id="rId4"/>
    <sheet name="Results" sheetId="5" state="visible" r:id="rId5"/>
    <sheet name="Toplin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FFFFFF"/>
    </font>
    <font>
      <b val="1"/>
    </font>
    <font>
      <b val="1"/>
      <sz val="14"/>
    </font>
  </fonts>
  <fills count="9">
    <fill>
      <patternFill/>
    </fill>
    <fill>
      <patternFill patternType="gray125"/>
    </fill>
    <fill>
      <patternFill patternType="solid">
        <fgColor rgb="001F4E78"/>
      </patternFill>
    </fill>
    <fill>
      <patternFill patternType="solid">
        <fgColor rgb="00D9EAF7"/>
      </patternFill>
    </fill>
    <fill>
      <patternFill patternType="solid">
        <fgColor rgb="00EAF3FF"/>
      </patternFill>
    </fill>
    <fill>
      <patternFill patternType="solid">
        <fgColor rgb="00EDEDED"/>
      </patternFill>
    </fill>
    <fill>
      <patternFill patternType="solid">
        <fgColor rgb="00FFF2CC"/>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17">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5" borderId="0" applyAlignment="1" pivotButton="0" quotePrefix="0" xfId="0">
      <alignment vertical="top" wrapText="1"/>
    </xf>
    <xf numFmtId="0" fontId="0" fillId="6" borderId="0" applyAlignment="1" applyProtection="1" pivotButton="0" quotePrefix="0" xfId="0">
      <alignment vertical="top" wrapText="1"/>
      <protection locked="0" hidden="0"/>
    </xf>
    <xf numFmtId="0" fontId="0" fillId="7" borderId="0" applyAlignment="1" pivotButton="0" quotePrefix="0" xfId="0">
      <alignment vertical="top" wrapText="1"/>
    </xf>
    <xf numFmtId="0" fontId="0" fillId="4" borderId="0" applyAlignment="1" pivotButton="0" quotePrefix="0" xfId="0">
      <alignment vertical="top" wrapText="1"/>
    </xf>
    <xf numFmtId="0" fontId="0" fillId="8" borderId="0" applyAlignment="1" pivotButton="0" quotePrefix="0" xfId="0">
      <alignment vertical="top" wrapText="1"/>
    </xf>
    <xf numFmtId="0" fontId="3" fillId="8" borderId="0" applyAlignment="1" pivotButton="0" quotePrefix="0" xfId="0">
      <alignment vertical="top" wrapText="1"/>
    </xf>
    <xf numFmtId="0" fontId="4" fillId="0" borderId="0" applyAlignment="1" pivotButton="0" quotePrefix="0" xfId="0">
      <alignment vertical="top" wrapText="1"/>
    </xf>
    <xf numFmtId="0" fontId="3" fillId="5" borderId="0" applyAlignment="1" pivotButton="0" quotePrefix="0" xfId="0">
      <alignment vertical="top" wrapText="1"/>
    </xf>
    <xf numFmtId="0" fontId="3" fillId="7"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22" customWidth="1" min="2" max="2"/>
  </cols>
  <sheetData>
    <row r="1">
      <c r="A1" s="1" t="inlineStr">
        <is>
          <t>Sentinel Firewall local adaptation workbook</t>
        </is>
      </c>
      <c r="B1" s="2" t="n"/>
    </row>
    <row r="2">
      <c r="A2" s="2" t="n"/>
      <c r="B2" s="2" t="n"/>
    </row>
    <row r="3">
      <c r="A3" s="3" t="inlineStr">
        <is>
          <t>Purpose</t>
        </is>
      </c>
      <c r="B3" s="2" t="inlineStr">
        <is>
          <t>This workbook accompanies the paper 'The Sentinel Firewall: A Health-System Strategy to Decouple Informal Industrialization from Lead Exposure in LMICs.' The paper asks whether maternal and child health platforms can temporarily reduce lead exposure by replacing contaminated household products with safe substitutes while regulation catches up. This spreadsheet is a simplified local-decision version of that model.</t>
        </is>
      </c>
    </row>
    <row r="4">
      <c r="A4" s="2" t="n"/>
      <c r="B4" s="2" t="n"/>
    </row>
    <row r="5">
      <c r="A5" s="3" t="inlineStr">
        <is>
          <t>What this tool does</t>
        </is>
      </c>
      <c r="B5" s="2" t="inlineStr">
        <is>
          <t>It compares two packages: a Kitchen Package (safe pot, calcium, child utensils) and a Kohl Package (safe maternal and infant kohl). It converts programme delivery into lower maternal and child blood lead levels, child IQ gains, lifetime earnings gains, maternal and neonatal health gains, and secondary adult cardiovascular gains.</t>
        </is>
      </c>
    </row>
    <row r="6">
      <c r="A6" s="2" t="n"/>
      <c r="B6" s="2" t="n"/>
    </row>
    <row r="7">
      <c r="A7" s="3" t="inlineStr">
        <is>
          <t>Who should use it</t>
        </is>
      </c>
      <c r="B7" s="2" t="inlineStr">
        <is>
          <t>This workbook is designed for Ministries of Health, NGOs, environmental health programmes, and local researchers who want to ask a practical question: if local prices, prevalence, attendance, and implementation quality look like our setting, would targeted safe-product substitution likely be worth funding?</t>
        </is>
      </c>
    </row>
    <row r="8">
      <c r="A8" s="2" t="n"/>
      <c r="B8" s="2" t="n"/>
    </row>
    <row r="9">
      <c r="A9" s="3" t="inlineStr">
        <is>
          <t>How to use it</t>
        </is>
      </c>
      <c r="B9" s="2" t="inlineStr">
        <is>
          <t>Go to the Inputs sheet. The grey Default column contains the author's modal assumptions and is locked. Enter local values only in the yellow 'Your local value' column. The green 'Active value' column will automatically use your entry when present and otherwise fall back to the default. The Topline sheet then compares the workbook-default mode-only results with your local mode-only scenario.</t>
        </is>
      </c>
    </row>
    <row r="10">
      <c r="A10" s="2" t="n"/>
      <c r="B10" s="2" t="n"/>
    </row>
    <row r="11">
      <c r="A11" s="3" t="inlineStr">
        <is>
          <t>What to change first</t>
        </is>
      </c>
      <c r="B11" s="2" t="inlineStr">
        <is>
          <t>Start with parameters local decision-makers are most likely to know or influence: GDP per capita, labour share, mortality, product prices, district births and overhead, prevalence in the targeted area, attendance, voucher redemption, stock, and adherence. Scientific parameters such as BLL-to-IQ and IQ-to-earnings are grouped separately and marked 'change cautiously'.</t>
        </is>
      </c>
    </row>
    <row r="12">
      <c r="A12" s="2" t="n"/>
      <c r="B12" s="2" t="n"/>
    </row>
    <row r="13">
      <c r="A13" s="3" t="inlineStr">
        <is>
          <t>How productivity is defined</t>
        </is>
      </c>
      <c r="B13" s="2" t="inlineStr">
        <is>
          <t>Productivity is measured as GDP per capita at purchasing power parity multiplied by labour's share of national income. This values market labour output, including self-employment and informal production that would be missed by observed wages alone. It excludes household production and the intrinsic value of cognition beyond earnings, so the earnings channel remains conservative on that dimension.</t>
        </is>
      </c>
    </row>
    <row r="14">
      <c r="A14" s="2" t="n"/>
      <c r="B14" s="2" t="n"/>
    </row>
    <row r="15">
      <c r="A15" s="3" t="inlineStr">
        <is>
          <t>Important limitation</t>
        </is>
      </c>
      <c r="B15" s="2" t="inlineStr">
        <is>
          <t>This is a deterministic mode-only tool. It does not run the 10,000-draw Monte Carlo uncertainty analysis, does not model parameter correlations, and does not export trial-level data. Use the public Python model for the full probabilistic sensitivity analysis and publication-quality figures.</t>
        </is>
      </c>
    </row>
    <row r="16">
      <c r="A16" s="2" t="n"/>
      <c r="B16" s="2" t="n"/>
    </row>
    <row r="17">
      <c r="A17" s="3" t="inlineStr">
        <is>
          <t>Public files</t>
        </is>
      </c>
      <c r="B17" s="2" t="inlineStr">
        <is>
          <t>Public copies are posted in the Sentinel-Firewall GitHub repository at https://github.com/levine63/Sentinel-Firewall. The main public files are submission_package/public_code_and_data/sentinel_firewall_model.py and submission_package/public_code_and_data/Simulating_sentinel_safe_products.xlsx.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20" customWidth="1" min="3" max="3"/>
    <col width="16" customWidth="1" min="4" max="4"/>
    <col width="18" customWidth="1" min="5" max="5"/>
    <col width="18" customWidth="1" min="6" max="6"/>
    <col width="11" customWidth="1" min="7" max="7"/>
    <col width="11" customWidth="1" min="8" max="8"/>
    <col width="74" customWidth="1" min="9" max="9"/>
    <col width="78" customWidth="1" min="10" max="10"/>
    <col width="22" customWidth="1" min="11" max="11"/>
    <col hidden="1" width="22" customWidth="1" min="12" max="12"/>
  </cols>
  <sheetData>
    <row r="1">
      <c r="A1" s="4" t="inlineStr">
        <is>
          <t>Parameter group</t>
        </is>
      </c>
      <c r="B1" s="4" t="inlineStr">
        <is>
          <t>Parameter</t>
        </is>
      </c>
      <c r="C1" s="4" t="inlineStr">
        <is>
          <t>Units</t>
        </is>
      </c>
      <c r="D1" s="4" t="inlineStr">
        <is>
          <t>Default modal value (locked)</t>
        </is>
      </c>
      <c r="E1" s="4" t="inlineStr">
        <is>
          <t>Your local value (edit here)</t>
        </is>
      </c>
      <c r="F1" s="4" t="inlineStr">
        <is>
          <t>Active value</t>
        </is>
      </c>
      <c r="G1" s="4" t="inlineStr">
        <is>
          <t>Low</t>
        </is>
      </c>
      <c r="H1" s="4" t="inlineStr">
        <is>
          <t>High</t>
        </is>
      </c>
      <c r="I1" s="4" t="inlineStr">
        <is>
          <t>Why it matters / plain-language description</t>
        </is>
      </c>
      <c r="J1" s="4" t="inlineStr">
        <is>
          <t>Citation basis</t>
        </is>
      </c>
      <c r="K1" s="4" t="inlineStr">
        <is>
          <t>Change guidance</t>
        </is>
      </c>
      <c r="L1" s="4" t="inlineStr">
        <is>
          <t>Internal name</t>
        </is>
      </c>
    </row>
    <row r="2">
      <c r="A2" s="5" t="inlineStr">
        <is>
          <t>Local macro and demography</t>
        </is>
      </c>
      <c r="B2" s="2" t="n"/>
      <c r="C2" s="2" t="n"/>
      <c r="D2" s="2" t="n"/>
      <c r="E2" s="6" t="n"/>
      <c r="F2" s="2" t="n"/>
      <c r="G2" s="2" t="n"/>
      <c r="H2" s="2" t="n"/>
      <c r="I2" s="2" t="n"/>
      <c r="J2" s="2" t="n"/>
      <c r="K2" s="2" t="n"/>
      <c r="L2" s="2" t="n"/>
    </row>
    <row r="3">
      <c r="A3" s="2" t="inlineStr">
        <is>
          <t>Local macro and demography</t>
        </is>
      </c>
      <c r="B3" s="2" t="inlineStr">
        <is>
          <t>GDP per capita, PPP</t>
        </is>
      </c>
      <c r="C3" s="2" t="inlineStr">
        <is>
          <t>US$ per person per year</t>
        </is>
      </c>
      <c r="D3" s="7" t="n">
        <v>4000</v>
      </c>
      <c r="E3" s="8" t="inlineStr"/>
      <c r="F3" s="9">
        <f>IF(LEN(E3)=0,D3,E3)</f>
        <v/>
      </c>
      <c r="G3" s="2" t="n">
        <v>2000</v>
      </c>
      <c r="H3" s="2" t="n">
        <v>8000</v>
      </c>
      <c r="I3" s="2" t="inlineStr">
        <is>
          <t>PPP GDP per capita</t>
        </is>
      </c>
      <c r="J3" s="2" t="inlineStr">
        <is>
          <t>World Bank LMIC context</t>
        </is>
      </c>
      <c r="K3" s="10" t="inlineStr">
        <is>
          <t>Usually known locally or from public statistics</t>
        </is>
      </c>
      <c r="L3" s="2" t="inlineStr">
        <is>
          <t>gdp_ppp_per_capita</t>
        </is>
      </c>
    </row>
    <row r="4">
      <c r="A4" s="2" t="inlineStr">
        <is>
          <t>Local macro and demography</t>
        </is>
      </c>
      <c r="B4" s="2" t="inlineStr">
        <is>
          <t>Labour share of national income</t>
        </is>
      </c>
      <c r="C4" s="2" t="inlineStr">
        <is>
          <t>Share of GDP</t>
        </is>
      </c>
      <c r="D4" s="7" t="n">
        <v>0.55</v>
      </c>
      <c r="E4" s="8" t="inlineStr"/>
      <c r="F4" s="9">
        <f>IF(LEN(E4)=0,D4,E4)</f>
        <v/>
      </c>
      <c r="G4" s="2" t="n">
        <v>0.5</v>
      </c>
      <c r="H4" s="2" t="n">
        <v>0.58</v>
      </c>
      <c r="I4" s="2" t="inlineStr">
        <is>
          <t>Labour share of national income including corrected self-employment income</t>
        </is>
      </c>
      <c r="J4" s="2" t="inlineStr">
        <is>
          <t>ILO labour-income-share data with Gollin self-employment correction</t>
        </is>
      </c>
      <c r="K4" s="2" t="inlineStr">
        <is>
          <t>Usually known from public macro data or left at default</t>
        </is>
      </c>
      <c r="L4" s="2" t="inlineStr">
        <is>
          <t>labor_share_income</t>
        </is>
      </c>
    </row>
    <row r="5">
      <c r="A5" s="2" t="inlineStr">
        <is>
          <t>Local macro and demography</t>
        </is>
      </c>
      <c r="B5" s="2" t="inlineStr">
        <is>
          <t>Real annual productivity growth</t>
        </is>
      </c>
      <c r="C5" s="2" t="inlineStr">
        <is>
          <t>Annual rate</t>
        </is>
      </c>
      <c r="D5" s="7" t="n">
        <v>0.02</v>
      </c>
      <c r="E5" s="8" t="inlineStr"/>
      <c r="F5" s="9">
        <f>IF(LEN(E5)=0,D5,E5)</f>
        <v/>
      </c>
      <c r="G5" s="2" t="n">
        <v>0</v>
      </c>
      <c r="H5" s="2" t="n">
        <v>0.025</v>
      </c>
      <c r="I5" s="2" t="inlineStr">
        <is>
          <t>Real annual productivity growth</t>
        </is>
      </c>
      <c r="J5" s="2" t="inlineStr">
        <is>
          <t>Long-run LMIC productivity assumption</t>
        </is>
      </c>
      <c r="K5" s="2" t="inlineStr">
        <is>
          <t>Change if you have a strong local reason</t>
        </is>
      </c>
      <c r="L5" s="2" t="inlineStr">
        <is>
          <t>growth</t>
        </is>
      </c>
    </row>
    <row r="6">
      <c r="A6" s="2" t="inlineStr">
        <is>
          <t>Local macro and demography</t>
        </is>
      </c>
      <c r="B6" s="2" t="inlineStr">
        <is>
          <t>Social discount rate</t>
        </is>
      </c>
      <c r="C6" s="2" t="inlineStr">
        <is>
          <t>Annual rate</t>
        </is>
      </c>
      <c r="D6" s="7" t="n">
        <v>0.03</v>
      </c>
      <c r="E6" s="8" t="inlineStr"/>
      <c r="F6" s="9">
        <f>IF(LEN(E6)=0,D6,E6)</f>
        <v/>
      </c>
      <c r="G6" s="2" t="n">
        <v>0.01</v>
      </c>
      <c r="H6" s="2" t="n">
        <v>0.05</v>
      </c>
      <c r="I6" s="2" t="inlineStr">
        <is>
          <t>Social discount rate</t>
        </is>
      </c>
      <c r="J6" s="2" t="inlineStr">
        <is>
          <t>Standard economic evaluation range</t>
        </is>
      </c>
      <c r="K6" s="2" t="inlineStr">
        <is>
          <t>Policy/evaluation choice</t>
        </is>
      </c>
      <c r="L6" s="2" t="inlineStr">
        <is>
          <t>discount</t>
        </is>
      </c>
    </row>
    <row r="7">
      <c r="A7" s="2" t="inlineStr">
        <is>
          <t>Local macro and demography</t>
        </is>
      </c>
      <c r="B7" s="2" t="inlineStr">
        <is>
          <t>Survival from birth to age 18</t>
        </is>
      </c>
      <c r="C7" s="2" t="inlineStr">
        <is>
          <t>Probability</t>
        </is>
      </c>
      <c r="D7" s="7" t="n">
        <v>0.95</v>
      </c>
      <c r="E7" s="8" t="inlineStr"/>
      <c r="F7" s="9">
        <f>IF(LEN(E7)=0,D7,E7)</f>
        <v/>
      </c>
      <c r="G7" s="2" t="n">
        <v>0.92</v>
      </c>
      <c r="H7" s="2" t="n">
        <v>0.97</v>
      </c>
      <c r="I7" s="2" t="inlineStr">
        <is>
          <t>Probability survive to age 18</t>
        </is>
      </c>
      <c r="J7" s="2" t="inlineStr">
        <is>
          <t>World Bank or UN life-table context</t>
        </is>
      </c>
      <c r="K7" s="10" t="inlineStr">
        <is>
          <t>Usually known locally or from public statistics</t>
        </is>
      </c>
      <c r="L7" s="2" t="inlineStr">
        <is>
          <t>p18</t>
        </is>
      </c>
    </row>
    <row r="8">
      <c r="A8" s="2" t="inlineStr">
        <is>
          <t>Local macro and demography</t>
        </is>
      </c>
      <c r="B8" s="2" t="inlineStr">
        <is>
          <t>Survival from birth to age 65</t>
        </is>
      </c>
      <c r="C8" s="2" t="inlineStr">
        <is>
          <t>Probability</t>
        </is>
      </c>
      <c r="D8" s="7" t="n">
        <v>0.78</v>
      </c>
      <c r="E8" s="8" t="inlineStr"/>
      <c r="F8" s="9">
        <f>IF(LEN(E8)=0,D8,E8)</f>
        <v/>
      </c>
      <c r="G8" s="2" t="n">
        <v>0.68</v>
      </c>
      <c r="H8" s="2" t="n">
        <v>0.85</v>
      </c>
      <c r="I8" s="2" t="inlineStr">
        <is>
          <t>Probability survive to age 65</t>
        </is>
      </c>
      <c r="J8" s="2" t="inlineStr">
        <is>
          <t>World Bank or UN life-table context</t>
        </is>
      </c>
      <c r="K8" s="10" t="inlineStr">
        <is>
          <t>Usually known locally or from public statistics</t>
        </is>
      </c>
      <c r="L8" s="2" t="inlineStr">
        <is>
          <t>p65</t>
        </is>
      </c>
    </row>
    <row r="9">
      <c r="A9" s="2" t="inlineStr">
        <is>
          <t>Local macro and demography</t>
        </is>
      </c>
      <c r="B9" s="2" t="inlineStr">
        <is>
          <t>Mortality timing shape parameter</t>
        </is>
      </c>
      <c r="C9" s="2" t="inlineStr">
        <is>
          <t>Unitless</t>
        </is>
      </c>
      <c r="D9" s="7" t="n">
        <v>2</v>
      </c>
      <c r="E9" s="8" t="inlineStr"/>
      <c r="F9" s="9">
        <f>IF(LEN(E9)=0,D9,E9)</f>
        <v/>
      </c>
      <c r="G9" s="2" t="n">
        <v>1.5</v>
      </c>
      <c r="H9" s="2" t="n">
        <v>3</v>
      </c>
      <c r="I9" s="2" t="inlineStr">
        <is>
          <t>Convexity of survival path</t>
        </is>
      </c>
      <c r="J9" s="2" t="inlineStr">
        <is>
          <t>Modeling assumption</t>
        </is>
      </c>
      <c r="K9" s="2" t="inlineStr">
        <is>
          <t>Usually leave at default</t>
        </is>
      </c>
      <c r="L9" s="2" t="inlineStr">
        <is>
          <t>k</t>
        </is>
      </c>
    </row>
    <row r="10">
      <c r="A10" s="2" t="inlineStr">
        <is>
          <t>Local macro and demography</t>
        </is>
      </c>
      <c r="B10" s="2" t="inlineStr">
        <is>
          <t>Age when earnings begin</t>
        </is>
      </c>
      <c r="C10" s="2" t="inlineStr">
        <is>
          <t>Years</t>
        </is>
      </c>
      <c r="D10" s="7" t="n">
        <v>18</v>
      </c>
      <c r="E10" s="8" t="inlineStr"/>
      <c r="F10" s="9">
        <f>IF(LEN(E10)=0,D10,E10)</f>
        <v/>
      </c>
      <c r="G10" s="2" t="n">
        <v>14</v>
      </c>
      <c r="H10" s="2" t="n">
        <v>20</v>
      </c>
      <c r="I10" s="2" t="inlineStr">
        <is>
          <t>Age labor earnings begin</t>
        </is>
      </c>
      <c r="J10" s="2" t="inlineStr">
        <is>
          <t>Economic timing assumption</t>
        </is>
      </c>
      <c r="K10" s="2" t="inlineStr">
        <is>
          <t>Usually known locally</t>
        </is>
      </c>
      <c r="L10" s="2" t="inlineStr">
        <is>
          <t>labor_entry_age</t>
        </is>
      </c>
    </row>
    <row r="11">
      <c r="A11" s="2" t="inlineStr">
        <is>
          <t>Local macro and demography</t>
        </is>
      </c>
      <c r="B11" s="2" t="inlineStr">
        <is>
          <t>Mother age at intervention</t>
        </is>
      </c>
      <c r="C11" s="2" t="inlineStr">
        <is>
          <t>Years</t>
        </is>
      </c>
      <c r="D11" s="7" t="n">
        <v>25</v>
      </c>
      <c r="E11" s="8" t="inlineStr"/>
      <c r="F11" s="9">
        <f>IF(LEN(E11)=0,D11,E11)</f>
        <v/>
      </c>
      <c r="G11" s="2" t="n">
        <v>18</v>
      </c>
      <c r="H11" s="2" t="n">
        <v>35</v>
      </c>
      <c r="I11" s="2" t="inlineStr">
        <is>
          <t>Age of mother at intervention</t>
        </is>
      </c>
      <c r="J11" s="2" t="inlineStr">
        <is>
          <t>DHS-style fertility timing assumption</t>
        </is>
      </c>
      <c r="K11" s="2" t="inlineStr">
        <is>
          <t>Usually known locally</t>
        </is>
      </c>
      <c r="L11" s="2" t="inlineStr">
        <is>
          <t>mom_age</t>
        </is>
      </c>
    </row>
    <row r="12">
      <c r="A12" s="2" t="inlineStr">
        <is>
          <t>Local macro and demography</t>
        </is>
      </c>
      <c r="B12" s="2" t="inlineStr">
        <is>
          <t>Grandparent age at intervention</t>
        </is>
      </c>
      <c r="C12" s="2" t="inlineStr">
        <is>
          <t>Years</t>
        </is>
      </c>
      <c r="D12" s="7" t="n">
        <v>52</v>
      </c>
      <c r="E12" s="8" t="inlineStr"/>
      <c r="F12" s="9">
        <f>IF(LEN(E12)=0,D12,E12)</f>
        <v/>
      </c>
      <c r="G12" s="2" t="n">
        <v>42</v>
      </c>
      <c r="H12" s="2" t="n">
        <v>70</v>
      </c>
      <c r="I12" s="2" t="inlineStr">
        <is>
          <t>Age of grandparent at intervention</t>
        </is>
      </c>
      <c r="J12" s="2" t="inlineStr">
        <is>
          <t>Demographic assumption</t>
        </is>
      </c>
      <c r="K12" s="2" t="inlineStr">
        <is>
          <t>Usually leave at default</t>
        </is>
      </c>
      <c r="L12" s="2" t="inlineStr">
        <is>
          <t>gp_age</t>
        </is>
      </c>
    </row>
    <row r="13">
      <c r="A13" s="2" t="inlineStr">
        <is>
          <t>Local macro and demography</t>
        </is>
      </c>
      <c r="B13" s="2" t="inlineStr">
        <is>
          <t>Grandparent co-residence</t>
        </is>
      </c>
      <c r="C13" s="2" t="inlineStr">
        <is>
          <t>Probability</t>
        </is>
      </c>
      <c r="D13" s="7" t="n">
        <v>0.5</v>
      </c>
      <c r="E13" s="8" t="inlineStr"/>
      <c r="F13" s="9">
        <f>IF(LEN(E13)=0,D13,E13)</f>
        <v/>
      </c>
      <c r="G13" s="2" t="n">
        <v>0.2</v>
      </c>
      <c r="H13" s="2" t="n">
        <v>0.7</v>
      </c>
      <c r="I13" s="2" t="inlineStr">
        <is>
          <t>Probability grandparent coresides</t>
        </is>
      </c>
      <c r="J13" s="2" t="inlineStr">
        <is>
          <t>DHS or household survey synthesis</t>
        </is>
      </c>
      <c r="K13" s="2" t="inlineStr">
        <is>
          <t>Usually known locally</t>
        </is>
      </c>
      <c r="L13" s="2" t="inlineStr">
        <is>
          <t>gp_coresidence_prob</t>
        </is>
      </c>
    </row>
    <row r="14">
      <c r="A14" s="5" t="inlineStr">
        <is>
          <t>Prices and overhead</t>
        </is>
      </c>
      <c r="B14" s="2" t="n"/>
      <c r="C14" s="2" t="n"/>
      <c r="D14" s="2" t="n"/>
      <c r="E14" s="6" t="n"/>
      <c r="F14" s="2" t="n"/>
      <c r="G14" s="2" t="n"/>
      <c r="H14" s="2" t="n"/>
      <c r="I14" s="2" t="n"/>
      <c r="J14" s="2" t="n"/>
      <c r="K14" s="2" t="n"/>
      <c r="L14" s="2" t="n"/>
    </row>
    <row r="15">
      <c r="A15" s="2" t="inlineStr">
        <is>
          <t>Prices and overhead</t>
        </is>
      </c>
      <c r="B15" s="2" t="inlineStr">
        <is>
          <t>Lead-safe pot product cost</t>
        </is>
      </c>
      <c r="C15" s="2" t="inlineStr">
        <is>
          <t>US$</t>
        </is>
      </c>
      <c r="D15" s="7" t="n">
        <v>12</v>
      </c>
      <c r="E15" s="8" t="inlineStr"/>
      <c r="F15" s="9">
        <f>IF(LEN(E15)=0,D15,E15)</f>
        <v/>
      </c>
      <c r="G15" s="2" t="n">
        <v>8</v>
      </c>
      <c r="H15" s="2" t="n">
        <v>15</v>
      </c>
      <c r="I15" s="2" t="inlineStr">
        <is>
          <t>Direct product cost of lead-safe pot</t>
        </is>
      </c>
      <c r="J15" s="2" t="inlineStr">
        <is>
          <t>Program design costing</t>
        </is>
      </c>
      <c r="K15" s="10" t="inlineStr">
        <is>
          <t>Good local input</t>
        </is>
      </c>
      <c r="L15" s="2" t="inlineStr">
        <is>
          <t>cost_pot_direct</t>
        </is>
      </c>
    </row>
    <row r="16">
      <c r="A16" s="2" t="inlineStr">
        <is>
          <t>Prices and overhead</t>
        </is>
      </c>
      <c r="B16" s="2" t="inlineStr">
        <is>
          <t>Safe child feeding-utensil product cost</t>
        </is>
      </c>
      <c r="C16" s="2" t="inlineStr">
        <is>
          <t>US$</t>
        </is>
      </c>
      <c r="D16" s="7" t="n">
        <v>1.5</v>
      </c>
      <c r="E16" s="8" t="inlineStr"/>
      <c r="F16" s="9">
        <f>IF(LEN(E16)=0,D16,E16)</f>
        <v/>
      </c>
      <c r="G16" s="2" t="n">
        <v>1</v>
      </c>
      <c r="H16" s="2" t="n">
        <v>2.5</v>
      </c>
      <c r="I16" s="2" t="inlineStr">
        <is>
          <t>Direct product cost of safe utensils</t>
        </is>
      </c>
      <c r="J16" s="2" t="inlineStr">
        <is>
          <t>Program design costing</t>
        </is>
      </c>
      <c r="K16" s="10" t="inlineStr">
        <is>
          <t>Good local input</t>
        </is>
      </c>
      <c r="L16" s="2" t="inlineStr">
        <is>
          <t>cost_utensils_direct</t>
        </is>
      </c>
    </row>
    <row r="17">
      <c r="A17" s="2" t="inlineStr">
        <is>
          <t>Prices and overhead</t>
        </is>
      </c>
      <c r="B17" s="2" t="inlineStr">
        <is>
          <t>Calcium course product cost</t>
        </is>
      </c>
      <c r="C17" s="2" t="inlineStr">
        <is>
          <t>US$</t>
        </is>
      </c>
      <c r="D17" s="7" t="n">
        <v>1.75</v>
      </c>
      <c r="E17" s="8" t="inlineStr"/>
      <c r="F17" s="9">
        <f>IF(LEN(E17)=0,D17,E17)</f>
        <v/>
      </c>
      <c r="G17" s="2" t="n">
        <v>1.25</v>
      </c>
      <c r="H17" s="2" t="n">
        <v>3</v>
      </c>
      <c r="I17" s="2" t="inlineStr">
        <is>
          <t>Direct product cost of calcium course</t>
        </is>
      </c>
      <c r="J17" s="2" t="inlineStr">
        <is>
          <t>Program design costing</t>
        </is>
      </c>
      <c r="K17" s="10" t="inlineStr">
        <is>
          <t>Good local input</t>
        </is>
      </c>
      <c r="L17" s="2" t="inlineStr">
        <is>
          <t>cost_calcium_direct</t>
        </is>
      </c>
    </row>
    <row r="18">
      <c r="A18" s="2" t="inlineStr">
        <is>
          <t>Prices and overhead</t>
        </is>
      </c>
      <c r="B18" s="2" t="inlineStr">
        <is>
          <t>Safe maternal kohl product cost</t>
        </is>
      </c>
      <c r="C18" s="2" t="inlineStr">
        <is>
          <t>US$</t>
        </is>
      </c>
      <c r="D18" s="7" t="n">
        <v>0.75</v>
      </c>
      <c r="E18" s="8" t="inlineStr"/>
      <c r="F18" s="9">
        <f>IF(LEN(E18)=0,D18,E18)</f>
        <v/>
      </c>
      <c r="G18" s="2" t="n">
        <v>0.4</v>
      </c>
      <c r="H18" s="2" t="n">
        <v>1.25</v>
      </c>
      <c r="I18" s="2" t="inlineStr">
        <is>
          <t>Direct product cost of maternal kohl substitute</t>
        </is>
      </c>
      <c r="J18" s="2" t="inlineStr">
        <is>
          <t>Program design costing</t>
        </is>
      </c>
      <c r="K18" s="10" t="inlineStr">
        <is>
          <t>Good local input</t>
        </is>
      </c>
      <c r="L18" s="2" t="inlineStr">
        <is>
          <t>cost_kohl_maternal_direct</t>
        </is>
      </c>
    </row>
    <row r="19">
      <c r="A19" s="2" t="inlineStr">
        <is>
          <t>Prices and overhead</t>
        </is>
      </c>
      <c r="B19" s="2" t="inlineStr">
        <is>
          <t>Safe infant kohl product cost</t>
        </is>
      </c>
      <c r="C19" s="2" t="inlineStr">
        <is>
          <t>US$</t>
        </is>
      </c>
      <c r="D19" s="7" t="n">
        <v>1.5</v>
      </c>
      <c r="E19" s="8" t="inlineStr"/>
      <c r="F19" s="9">
        <f>IF(LEN(E19)=0,D19,E19)</f>
        <v/>
      </c>
      <c r="G19" s="2" t="n">
        <v>1.2</v>
      </c>
      <c r="H19" s="2" t="n">
        <v>3</v>
      </c>
      <c r="I19" s="2" t="inlineStr">
        <is>
          <t>Direct product cost of infant kohl substitute</t>
        </is>
      </c>
      <c r="J19" s="2" t="inlineStr">
        <is>
          <t>Program design costing</t>
        </is>
      </c>
      <c r="K19" s="10" t="inlineStr">
        <is>
          <t>Good local input</t>
        </is>
      </c>
      <c r="L19" s="2" t="inlineStr">
        <is>
          <t>cost_kohl_infant_direct</t>
        </is>
      </c>
    </row>
    <row r="20">
      <c r="A20" s="2" t="inlineStr">
        <is>
          <t>Prices and overhead</t>
        </is>
      </c>
      <c r="B20" s="2" t="inlineStr">
        <is>
          <t>Counseling and explanation cost per contact</t>
        </is>
      </c>
      <c r="C20" s="2" t="inlineStr">
        <is>
          <t>US$</t>
        </is>
      </c>
      <c r="D20" s="7" t="n">
        <v>0.35</v>
      </c>
      <c r="E20" s="8" t="inlineStr"/>
      <c r="F20" s="9">
        <f>IF(LEN(E20)=0,D20,E20)</f>
        <v/>
      </c>
      <c r="G20" s="2" t="n">
        <v>0.3</v>
      </c>
      <c r="H20" s="2" t="n">
        <v>0.5</v>
      </c>
      <c r="I20" s="2" t="inlineStr">
        <is>
          <t>Counseling cost per eligible contact</t>
        </is>
      </c>
      <c r="J20" s="2" t="inlineStr">
        <is>
          <t>CHW time assumption</t>
        </is>
      </c>
      <c r="K20" s="10" t="inlineStr">
        <is>
          <t>Programme lever</t>
        </is>
      </c>
      <c r="L20" s="2" t="inlineStr">
        <is>
          <t>cost_explain</t>
        </is>
      </c>
    </row>
    <row r="21">
      <c r="A21" s="2" t="inlineStr">
        <is>
          <t>Prices and overhead</t>
        </is>
      </c>
      <c r="B21" s="2" t="inlineStr">
        <is>
          <t>Bulk distribution plus retailer margin for pot</t>
        </is>
      </c>
      <c r="C21" s="2" t="inlineStr">
        <is>
          <t>US$</t>
        </is>
      </c>
      <c r="D21" s="7" t="n">
        <v>4</v>
      </c>
      <c r="E21" s="8" t="inlineStr"/>
      <c r="F21" s="9">
        <f>IF(LEN(E21)=0,D21,E21)</f>
        <v/>
      </c>
      <c r="G21" s="2" t="n">
        <v>3</v>
      </c>
      <c r="H21" s="2" t="n">
        <v>5</v>
      </c>
      <c r="I21" s="2" t="inlineStr">
        <is>
          <t>Bulk distribution cost plus retailer margin for pot voucher redemption</t>
        </is>
      </c>
      <c r="J21" s="2" t="inlineStr">
        <is>
          <t>Program logistics and merchant margin assumption</t>
        </is>
      </c>
      <c r="K21" s="10" t="inlineStr">
        <is>
          <t>Programme lever</t>
        </is>
      </c>
      <c r="L21" s="2" t="inlineStr">
        <is>
          <t>cost_bulk_distribution_margin</t>
        </is>
      </c>
    </row>
    <row r="22">
      <c r="A22" s="2" t="inlineStr">
        <is>
          <t>Prices and overhead</t>
        </is>
      </c>
      <c r="B22" s="2" t="inlineStr">
        <is>
          <t>Distribution cost for small item</t>
        </is>
      </c>
      <c r="C22" s="2" t="inlineStr">
        <is>
          <t>US$</t>
        </is>
      </c>
      <c r="D22" s="7" t="n">
        <v>0.5</v>
      </c>
      <c r="E22" s="8" t="inlineStr"/>
      <c r="F22" s="9">
        <f>IF(LEN(E22)=0,D22,E22)</f>
        <v/>
      </c>
      <c r="G22" s="2" t="n">
        <v>0.25</v>
      </c>
      <c r="H22" s="2" t="n">
        <v>1</v>
      </c>
      <c r="I22" s="2" t="inlineStr">
        <is>
          <t>Distribution cost for light items</t>
        </is>
      </c>
      <c r="J22" s="2" t="inlineStr">
        <is>
          <t>Program logistics assumption</t>
        </is>
      </c>
      <c r="K22" s="10" t="inlineStr">
        <is>
          <t>Programme lever</t>
        </is>
      </c>
      <c r="L22" s="2" t="inlineStr">
        <is>
          <t>cost_dist_light</t>
        </is>
      </c>
    </row>
    <row r="23">
      <c r="A23" s="2" t="inlineStr">
        <is>
          <t>Prices and overhead</t>
        </is>
      </c>
      <c r="B23" s="2" t="inlineStr">
        <is>
          <t>Programme overhead markup</t>
        </is>
      </c>
      <c r="C23" s="2" t="inlineStr">
        <is>
          <t>Share of direct product plus distribution cost</t>
        </is>
      </c>
      <c r="D23" s="7" t="n">
        <v>0.6</v>
      </c>
      <c r="E23" s="8" t="inlineStr"/>
      <c r="F23" s="9">
        <f>IF(LEN(E23)=0,D23,E23)</f>
        <v/>
      </c>
      <c r="G23" s="2" t="n">
        <v>0.3</v>
      </c>
      <c r="H23" s="2" t="n">
        <v>1</v>
      </c>
      <c r="I23" s="2" t="inlineStr">
        <is>
          <t>Program markup covering wastage supply-chain overhead supervision and health-system administration</t>
        </is>
      </c>
      <c r="J23" s="2" t="inlineStr">
        <is>
          <t>Program logistics and administration assumption</t>
        </is>
      </c>
      <c r="K23" s="10" t="inlineStr">
        <is>
          <t>Programme lever</t>
        </is>
      </c>
      <c r="L23" s="2" t="inlineStr">
        <is>
          <t>logistics_markup</t>
        </is>
      </c>
    </row>
    <row r="24">
      <c r="A24" s="2" t="inlineStr">
        <is>
          <t>Prices and overhead</t>
        </is>
      </c>
      <c r="B24" s="2" t="inlineStr">
        <is>
          <t>National and district fixed programme cost per screening unit</t>
        </is>
      </c>
      <c r="C24" s="2" t="inlineStr">
        <is>
          <t>US$</t>
        </is>
      </c>
      <c r="D24" s="7" t="n">
        <v>50000</v>
      </c>
      <c r="E24" s="8" t="inlineStr"/>
      <c r="F24" s="9">
        <f>IF(LEN(E24)=0,D24,E24)</f>
        <v/>
      </c>
      <c r="G24" s="2" t="n">
        <v>20000</v>
      </c>
      <c r="H24" s="2" t="n">
        <v>100000</v>
      </c>
      <c r="I24" s="2" t="inlineStr">
        <is>
          <t>District fixed cost</t>
        </is>
      </c>
      <c r="J24" s="2" t="inlineStr">
        <is>
          <t>Program design assumption</t>
        </is>
      </c>
      <c r="K24" s="10" t="inlineStr">
        <is>
          <t>Good local input</t>
        </is>
      </c>
      <c r="L24" s="2" t="inlineStr">
        <is>
          <t>district_fixed_cost</t>
        </is>
      </c>
    </row>
    <row r="25">
      <c r="A25" s="2" t="inlineStr">
        <is>
          <t>Prices and overhead</t>
        </is>
      </c>
      <c r="B25" s="2" t="inlineStr">
        <is>
          <t>Births per screening unit</t>
        </is>
      </c>
      <c r="C25" s="2" t="inlineStr">
        <is>
          <t>Births</t>
        </is>
      </c>
      <c r="D25" s="7" t="n">
        <v>20000</v>
      </c>
      <c r="E25" s="8" t="inlineStr"/>
      <c r="F25" s="9">
        <f>IF(LEN(E25)=0,D25,E25)</f>
        <v/>
      </c>
      <c r="G25" s="2" t="n">
        <v>4000</v>
      </c>
      <c r="H25" s="2" t="n">
        <v>50000</v>
      </c>
      <c r="I25" s="2" t="inlineStr">
        <is>
          <t>Births per district</t>
        </is>
      </c>
      <c r="J25" s="2" t="inlineStr">
        <is>
          <t>Administrative planning assumption</t>
        </is>
      </c>
      <c r="K25" s="10" t="inlineStr">
        <is>
          <t>Good local input</t>
        </is>
      </c>
      <c r="L25" s="2" t="inlineStr">
        <is>
          <t>district_births</t>
        </is>
      </c>
    </row>
    <row r="26">
      <c r="A26" s="5" t="inlineStr">
        <is>
          <t>Targeting and prevalence</t>
        </is>
      </c>
      <c r="B26" s="2" t="n"/>
      <c r="C26" s="2" t="n"/>
      <c r="D26" s="2" t="n"/>
      <c r="E26" s="6" t="n"/>
      <c r="F26" s="2" t="n"/>
      <c r="G26" s="2" t="n"/>
      <c r="H26" s="2" t="n"/>
      <c r="I26" s="2" t="n"/>
      <c r="J26" s="2" t="n"/>
      <c r="K26" s="2" t="n"/>
      <c r="L26" s="2" t="n"/>
    </row>
    <row r="27">
      <c r="A27" s="2" t="inlineStr">
        <is>
          <t>Targeting and prevalence</t>
        </is>
      </c>
      <c r="B27" s="2" t="inlineStr">
        <is>
          <t>Unsafe pot prevalence in targeted households</t>
        </is>
      </c>
      <c r="C27" s="2" t="inlineStr">
        <is>
          <t>Share</t>
        </is>
      </c>
      <c r="D27" s="7" t="n">
        <v>0.75</v>
      </c>
      <c r="E27" s="8" t="inlineStr"/>
      <c r="F27" s="9">
        <f>IF(LEN(E27)=0,D27,E27)</f>
        <v/>
      </c>
      <c r="G27" s="2" t="n">
        <v>0.5</v>
      </c>
      <c r="H27" s="2" t="n">
        <v>0.9</v>
      </c>
      <c r="I27" s="2" t="inlineStr">
        <is>
          <t>Unsafe pot prevalence among target households</t>
        </is>
      </c>
      <c r="J27" s="2" t="inlineStr">
        <is>
          <t>Hotspot prevalence assumption with improved sentinel targeting</t>
        </is>
      </c>
      <c r="K27" s="10" t="inlineStr">
        <is>
          <t>Good local input</t>
        </is>
      </c>
      <c r="L27" s="2" t="inlineStr">
        <is>
          <t>prev_pot</t>
        </is>
      </c>
    </row>
    <row r="28">
      <c r="A28" s="2" t="inlineStr">
        <is>
          <t>Targeting and prevalence</t>
        </is>
      </c>
      <c r="B28" s="2" t="inlineStr">
        <is>
          <t>Unsafe maternal kohl prevalence in targeted households</t>
        </is>
      </c>
      <c r="C28" s="2" t="inlineStr">
        <is>
          <t>Share</t>
        </is>
      </c>
      <c r="D28" s="7" t="n">
        <v>0.7</v>
      </c>
      <c r="E28" s="8" t="inlineStr"/>
      <c r="F28" s="9">
        <f>IF(LEN(E28)=0,D28,E28)</f>
        <v/>
      </c>
      <c r="G28" s="2" t="n">
        <v>0.4</v>
      </c>
      <c r="H28" s="2" t="n">
        <v>0.85</v>
      </c>
      <c r="I28" s="2" t="inlineStr">
        <is>
          <t>Unsafe maternal kohl prevalence</t>
        </is>
      </c>
      <c r="J28" s="2" t="inlineStr">
        <is>
          <t>Synthesized from survey and ethnographic evidence with hotspot targeting</t>
        </is>
      </c>
      <c r="K28" s="10" t="inlineStr">
        <is>
          <t>Good local input</t>
        </is>
      </c>
      <c r="L28" s="2" t="inlineStr">
        <is>
          <t>prev_kohl_maternal</t>
        </is>
      </c>
    </row>
    <row r="29">
      <c r="A29" s="2" t="inlineStr">
        <is>
          <t>Targeting and prevalence</t>
        </is>
      </c>
      <c r="B29" s="2" t="inlineStr">
        <is>
          <t>Unsafe infant kohl prevalence in targeted households</t>
        </is>
      </c>
      <c r="C29" s="2" t="inlineStr">
        <is>
          <t>Share</t>
        </is>
      </c>
      <c r="D29" s="7" t="n">
        <v>0.7</v>
      </c>
      <c r="E29" s="8" t="inlineStr"/>
      <c r="F29" s="9">
        <f>IF(LEN(E29)=0,D29,E29)</f>
        <v/>
      </c>
      <c r="G29" s="2" t="n">
        <v>0.4</v>
      </c>
      <c r="H29" s="2" t="n">
        <v>0.85</v>
      </c>
      <c r="I29" s="2" t="inlineStr">
        <is>
          <t>Unsafe infant kohl prevalence among infants</t>
        </is>
      </c>
      <c r="J29" s="2" t="inlineStr">
        <is>
          <t>Synthesized from survey and ethnographic evidence with hotspot targeting</t>
        </is>
      </c>
      <c r="K29" s="10" t="inlineStr">
        <is>
          <t>Good local input</t>
        </is>
      </c>
      <c r="L29" s="2" t="inlineStr">
        <is>
          <t>prev_kohl_infant</t>
        </is>
      </c>
    </row>
    <row r="30">
      <c r="A30" s="2" t="inlineStr">
        <is>
          <t>Targeting and prevalence</t>
        </is>
      </c>
      <c r="B30" s="2" t="inlineStr">
        <is>
          <t>Unsafe child feeding-utensil prevalence in targeted households</t>
        </is>
      </c>
      <c r="C30" s="2" t="inlineStr">
        <is>
          <t>Share</t>
        </is>
      </c>
      <c r="D30" s="7" t="n">
        <v>0.6</v>
      </c>
      <c r="E30" s="8" t="inlineStr"/>
      <c r="F30" s="9">
        <f>IF(LEN(E30)=0,D30,E30)</f>
        <v/>
      </c>
      <c r="G30" s="2" t="n">
        <v>0.4</v>
      </c>
      <c r="H30" s="2" t="n">
        <v>0.8</v>
      </c>
      <c r="I30" s="2" t="inlineStr">
        <is>
          <t>Unsafe utensil prevalence among target households</t>
        </is>
      </c>
      <c r="J30" s="2" t="inlineStr">
        <is>
          <t>Context-specific prevalence assumption with improved sentinel targeting</t>
        </is>
      </c>
      <c r="K30" s="10" t="inlineStr">
        <is>
          <t>Good local input</t>
        </is>
      </c>
      <c r="L30" s="2" t="inlineStr">
        <is>
          <t>prev_utensils</t>
        </is>
      </c>
    </row>
    <row r="31">
      <c r="A31" s="5" t="inlineStr">
        <is>
          <t>Implementation and programme reach</t>
        </is>
      </c>
      <c r="B31" s="2" t="n"/>
      <c r="C31" s="2" t="n"/>
      <c r="D31" s="2" t="n"/>
      <c r="E31" s="6" t="n"/>
      <c r="F31" s="2" t="n"/>
      <c r="G31" s="2" t="n"/>
      <c r="H31" s="2" t="n"/>
      <c r="I31" s="2" t="n"/>
      <c r="J31" s="2" t="n"/>
      <c r="K31" s="2" t="n"/>
      <c r="L31" s="2" t="n"/>
    </row>
    <row r="32">
      <c r="A32" s="2" t="inlineStr">
        <is>
          <t>Implementation and programme reach</t>
        </is>
      </c>
      <c r="B32" s="2" t="inlineStr">
        <is>
          <t>Attendance at antenatal care contact</t>
        </is>
      </c>
      <c r="C32" s="2" t="inlineStr">
        <is>
          <t>Probability</t>
        </is>
      </c>
      <c r="D32" s="7" t="n">
        <v>0.82</v>
      </c>
      <c r="E32" s="8" t="inlineStr"/>
      <c r="F32" s="9">
        <f>IF(LEN(E32)=0,D32,E32)</f>
        <v/>
      </c>
      <c r="G32" s="2" t="n">
        <v>0.55</v>
      </c>
      <c r="H32" s="2" t="n">
        <v>0.95</v>
      </c>
      <c r="I32" s="2" t="inlineStr">
        <is>
          <t>Attendance at ANC contact</t>
        </is>
      </c>
      <c r="J32" s="2" t="inlineStr">
        <is>
          <t>UNICEF ANC coverage benchmarks</t>
        </is>
      </c>
      <c r="K32" s="10" t="inlineStr">
        <is>
          <t>Good local input</t>
        </is>
      </c>
      <c r="L32" s="2" t="inlineStr">
        <is>
          <t>p_att_anc</t>
        </is>
      </c>
    </row>
    <row r="33">
      <c r="A33" s="2" t="inlineStr">
        <is>
          <t>Implementation and programme reach</t>
        </is>
      </c>
      <c r="B33" s="2" t="inlineStr">
        <is>
          <t>Attendance at 6-month immunization contact</t>
        </is>
      </c>
      <c r="C33" s="2" t="inlineStr">
        <is>
          <t>Probability</t>
        </is>
      </c>
      <c r="D33" s="7" t="n">
        <v>0.8</v>
      </c>
      <c r="E33" s="8" t="inlineStr"/>
      <c r="F33" s="9">
        <f>IF(LEN(E33)=0,D33,E33)</f>
        <v/>
      </c>
      <c r="G33" s="2" t="n">
        <v>0.5</v>
      </c>
      <c r="H33" s="2" t="n">
        <v>0.95</v>
      </c>
      <c r="I33" s="2" t="inlineStr">
        <is>
          <t>Attendance at immunization contact</t>
        </is>
      </c>
      <c r="J33" s="2" t="inlineStr">
        <is>
          <t>UNICEF or WHO immunization coverage benchmarks</t>
        </is>
      </c>
      <c r="K33" s="10" t="inlineStr">
        <is>
          <t>Good local input</t>
        </is>
      </c>
      <c r="L33" s="2" t="inlineStr">
        <is>
          <t>p_att_imm</t>
        </is>
      </c>
    </row>
    <row r="34">
      <c r="A34" s="2" t="inlineStr">
        <is>
          <t>Implementation and programme reach</t>
        </is>
      </c>
      <c r="B34" s="2" t="inlineStr">
        <is>
          <t>Institutional delivery contact</t>
        </is>
      </c>
      <c r="C34" s="2" t="inlineStr">
        <is>
          <t>Probability</t>
        </is>
      </c>
      <c r="D34" s="7" t="n">
        <v>0.65</v>
      </c>
      <c r="E34" s="8" t="inlineStr"/>
      <c r="F34" s="9">
        <f>IF(LEN(E34)=0,D34,E34)</f>
        <v/>
      </c>
      <c r="G34" s="2" t="n">
        <v>0.4</v>
      </c>
      <c r="H34" s="2" t="n">
        <v>0.85</v>
      </c>
      <c r="I34" s="2" t="inlineStr">
        <is>
          <t>Institutional delivery rate</t>
        </is>
      </c>
      <c r="J34" s="2" t="inlineStr">
        <is>
          <t>UNICEF institutional delivery benchmarks</t>
        </is>
      </c>
      <c r="K34" s="10" t="inlineStr">
        <is>
          <t>Good local input</t>
        </is>
      </c>
      <c r="L34" s="2" t="inlineStr">
        <is>
          <t>p_att_birth</t>
        </is>
      </c>
    </row>
    <row r="35">
      <c r="A35" s="2" t="inlineStr">
        <is>
          <t>Implementation and programme reach</t>
        </is>
      </c>
      <c r="B35" s="2" t="inlineStr">
        <is>
          <t>Infant kohl contact through facility delivery or early immunization</t>
        </is>
      </c>
      <c r="C35" s="2" t="inlineStr">
        <is>
          <t>Probability</t>
        </is>
      </c>
      <c r="D35" s="7" t="n">
        <v>0.8</v>
      </c>
      <c r="E35" s="8" t="inlineStr"/>
      <c r="F35" s="9">
        <f>IF(LEN(E35)=0,D35,E35)</f>
        <v/>
      </c>
      <c r="G35" s="2" t="n">
        <v>0.55</v>
      </c>
      <c r="H35" s="2" t="n">
        <v>0.95</v>
      </c>
      <c r="I35" s="2" t="inlineStr">
        <is>
          <t>Infant kohl contact via either facility delivery or early immunization catch-up</t>
        </is>
      </c>
      <c r="J35" s="2" t="inlineStr">
        <is>
          <t>Union of correlated infant contacts based on UNICEF delivery and immunization benchmarks</t>
        </is>
      </c>
      <c r="K35" s="10" t="inlineStr">
        <is>
          <t>Good local input</t>
        </is>
      </c>
      <c r="L35" s="2" t="inlineStr">
        <is>
          <t>p_att_infant_kohl_contact</t>
        </is>
      </c>
    </row>
    <row r="36">
      <c r="A36" s="2" t="inlineStr">
        <is>
          <t>Implementation and programme reach</t>
        </is>
      </c>
      <c r="B36" s="2" t="inlineStr">
        <is>
          <t>Health-system delivery fidelity</t>
        </is>
      </c>
      <c r="C36" s="2" t="inlineStr">
        <is>
          <t>Probability</t>
        </is>
      </c>
      <c r="D36" s="7" t="n">
        <v>0.6</v>
      </c>
      <c r="E36" s="8" t="inlineStr"/>
      <c r="F36" s="9">
        <f>IF(LEN(E36)=0,D36,E36)</f>
        <v/>
      </c>
      <c r="G36" s="2" t="n">
        <v>0.3</v>
      </c>
      <c r="H36" s="2" t="n">
        <v>0.8</v>
      </c>
      <c r="I36" s="2" t="inlineStr">
        <is>
          <t>Delivery fidelity</t>
        </is>
      </c>
      <c r="J36" s="2" t="inlineStr">
        <is>
          <t>Implementation assumption with service-delivery support</t>
        </is>
      </c>
      <c r="K36" s="10" t="inlineStr">
        <is>
          <t>Programme lever</t>
        </is>
      </c>
      <c r="L36" s="2" t="inlineStr">
        <is>
          <t>fidelity</t>
        </is>
      </c>
    </row>
    <row r="37">
      <c r="A37" s="2" t="inlineStr">
        <is>
          <t>Implementation and programme reach</t>
        </is>
      </c>
      <c r="B37" s="2" t="inlineStr">
        <is>
          <t>Complete substitution or adherence</t>
        </is>
      </c>
      <c r="C37" s="2" t="inlineStr">
        <is>
          <t>Probability</t>
        </is>
      </c>
      <c r="D37" s="7" t="n">
        <v>0.5</v>
      </c>
      <c r="E37" s="8" t="inlineStr"/>
      <c r="F37" s="9">
        <f>IF(LEN(E37)=0,D37,E37)</f>
        <v/>
      </c>
      <c r="G37" s="2" t="n">
        <v>0.3</v>
      </c>
      <c r="H37" s="2" t="n">
        <v>0.6</v>
      </c>
      <c r="I37" s="2" t="inlineStr">
        <is>
          <t>Complete substitution or adherence</t>
        </is>
      </c>
      <c r="J37" s="2" t="inlineStr">
        <is>
          <t>Implementation assumption</t>
        </is>
      </c>
      <c r="K37" s="10" t="inlineStr">
        <is>
          <t>Programme lever</t>
        </is>
      </c>
      <c r="L37" s="2" t="inlineStr">
        <is>
          <t>adherence</t>
        </is>
      </c>
    </row>
    <row r="38">
      <c r="A38" s="2" t="inlineStr">
        <is>
          <t>Implementation and programme reach</t>
        </is>
      </c>
      <c r="B38" s="2" t="inlineStr">
        <is>
          <t>Pot voucher issued at ANC</t>
        </is>
      </c>
      <c r="C38" s="2" t="inlineStr">
        <is>
          <t>Probability</t>
        </is>
      </c>
      <c r="D38" s="7" t="n">
        <v>0.7</v>
      </c>
      <c r="E38" s="8" t="inlineStr"/>
      <c r="F38" s="9">
        <f>IF(LEN(E38)=0,D38,E38)</f>
        <v/>
      </c>
      <c r="G38" s="2" t="n">
        <v>0.4</v>
      </c>
      <c r="H38" s="2" t="n">
        <v>0.9</v>
      </c>
      <c r="I38" s="2" t="inlineStr">
        <is>
          <t>Voucher successfully issued at ANC</t>
        </is>
      </c>
      <c r="J38" s="2" t="inlineStr">
        <is>
          <t>Program implementation assumption</t>
        </is>
      </c>
      <c r="K38" s="10" t="inlineStr">
        <is>
          <t>Programme lever</t>
        </is>
      </c>
      <c r="L38" s="2" t="inlineStr">
        <is>
          <t>p_voucher_issued</t>
        </is>
      </c>
    </row>
    <row r="39">
      <c r="A39" s="2" t="inlineStr">
        <is>
          <t>Implementation and programme reach</t>
        </is>
      </c>
      <c r="B39" s="2" t="inlineStr">
        <is>
          <t>Approved merchant has safe pot in stock</t>
        </is>
      </c>
      <c r="C39" s="2" t="inlineStr">
        <is>
          <t>Probability</t>
        </is>
      </c>
      <c r="D39" s="7" t="n">
        <v>0.8</v>
      </c>
      <c r="E39" s="8" t="inlineStr"/>
      <c r="F39" s="9">
        <f>IF(LEN(E39)=0,D39,E39)</f>
        <v/>
      </c>
      <c r="G39" s="2" t="n">
        <v>0.6</v>
      </c>
      <c r="H39" s="2" t="n">
        <v>0.95</v>
      </c>
      <c r="I39" s="2" t="inlineStr">
        <is>
          <t>Approved merchant with voucher accepts and has pot in stock</t>
        </is>
      </c>
      <c r="J39" s="2" t="inlineStr">
        <is>
          <t>Program implementation assumption</t>
        </is>
      </c>
      <c r="K39" s="10" t="inlineStr">
        <is>
          <t>Programme lever</t>
        </is>
      </c>
      <c r="L39" s="2" t="inlineStr">
        <is>
          <t>p_merchant_stock</t>
        </is>
      </c>
    </row>
    <row r="40">
      <c r="A40" s="2" t="inlineStr">
        <is>
          <t>Implementation and programme reach</t>
        </is>
      </c>
      <c r="B40" s="2" t="inlineStr">
        <is>
          <t>Pot voucher redeemed</t>
        </is>
      </c>
      <c r="C40" s="2" t="inlineStr">
        <is>
          <t>Probability</t>
        </is>
      </c>
      <c r="D40" s="7" t="n">
        <v>0.75</v>
      </c>
      <c r="E40" s="8" t="inlineStr"/>
      <c r="F40" s="9">
        <f>IF(LEN(E40)=0,D40,E40)</f>
        <v/>
      </c>
      <c r="G40" s="2" t="n">
        <v>0.6</v>
      </c>
      <c r="H40" s="2" t="n">
        <v>0.9</v>
      </c>
      <c r="I40" s="2" t="inlineStr">
        <is>
          <t>Voucher redeemed at merchant</t>
        </is>
      </c>
      <c r="J40" s="2" t="inlineStr">
        <is>
          <t>Voucher redemption literature and high-value durable good assumption</t>
        </is>
      </c>
      <c r="K40" s="10" t="inlineStr">
        <is>
          <t>Programme lever</t>
        </is>
      </c>
      <c r="L40" s="2" t="inlineStr">
        <is>
          <t>p_redeem</t>
        </is>
      </c>
    </row>
    <row r="41">
      <c r="A41" s="2" t="inlineStr">
        <is>
          <t>Implementation and programme reach</t>
        </is>
      </c>
      <c r="B41" s="2" t="inlineStr">
        <is>
          <t>Redeemed pot used for pregnant woman or young child</t>
        </is>
      </c>
      <c r="C41" s="2" t="inlineStr">
        <is>
          <t>Probability</t>
        </is>
      </c>
      <c r="D41" s="7" t="n">
        <v>0.9</v>
      </c>
      <c r="E41" s="8" t="inlineStr"/>
      <c r="F41" s="9">
        <f>IF(LEN(E41)=0,D41,E41)</f>
        <v/>
      </c>
      <c r="G41" s="2" t="n">
        <v>0.75</v>
      </c>
      <c r="H41" s="2" t="n">
        <v>0.98</v>
      </c>
      <c r="I41" s="2" t="inlineStr">
        <is>
          <t>Redeemed pot used by pregnant woman or toddler</t>
        </is>
      </c>
      <c r="J41" s="2" t="inlineStr">
        <is>
          <t>Conditional use after self-targeted redemption</t>
        </is>
      </c>
      <c r="K41" s="10" t="inlineStr">
        <is>
          <t>Programme lever</t>
        </is>
      </c>
      <c r="L41" s="2" t="inlineStr">
        <is>
          <t>p_use_targeted_after_redemption</t>
        </is>
      </c>
    </row>
    <row r="42">
      <c r="A42" s="2" t="inlineStr">
        <is>
          <t>Implementation and programme reach</t>
        </is>
      </c>
      <c r="B42" s="2" t="inlineStr">
        <is>
          <t>Residual harm from continued unsafe pot use</t>
        </is>
      </c>
      <c r="C42" s="2" t="inlineStr">
        <is>
          <t>Share of pot benefit lost</t>
        </is>
      </c>
      <c r="D42" s="7" t="n">
        <v>0.15</v>
      </c>
      <c r="E42" s="8" t="inlineStr"/>
      <c r="F42" s="9">
        <f>IF(LEN(E42)=0,D42,E42)</f>
        <v/>
      </c>
      <c r="G42" s="2" t="n">
        <v>0.05</v>
      </c>
      <c r="H42" s="2" t="n">
        <v>0.35</v>
      </c>
      <c r="I42" s="2" t="inlineStr">
        <is>
          <t>Share of pot benefit lost from continued unsafe pot use for target users</t>
        </is>
      </c>
      <c r="J42" s="2" t="inlineStr">
        <is>
          <t>Product stacking penalty</t>
        </is>
      </c>
      <c r="K42" s="10" t="inlineStr">
        <is>
          <t>Programme lever</t>
        </is>
      </c>
      <c r="L42" s="2" t="inlineStr">
        <is>
          <t>residual_unsafe_use_harm</t>
        </is>
      </c>
    </row>
    <row r="43">
      <c r="A43" s="5" t="inlineStr">
        <is>
          <t>Product-specific BLL effect sizes</t>
        </is>
      </c>
      <c r="B43" s="2" t="n"/>
      <c r="C43" s="2" t="n"/>
      <c r="D43" s="2" t="n"/>
      <c r="E43" s="6" t="n"/>
      <c r="F43" s="2" t="n"/>
      <c r="G43" s="2" t="n"/>
      <c r="H43" s="2" t="n"/>
      <c r="I43" s="2" t="n"/>
      <c r="J43" s="2" t="n"/>
      <c r="K43" s="2" t="n"/>
      <c r="L43" s="2" t="n"/>
    </row>
    <row r="44">
      <c r="A44" s="2" t="inlineStr">
        <is>
          <t>Product-specific BLL effect sizes</t>
        </is>
      </c>
      <c r="B44" s="2" t="inlineStr">
        <is>
          <t>Child BLL reduction from full switch to safe pot</t>
        </is>
      </c>
      <c r="C44" s="2" t="inlineStr">
        <is>
          <t>ug/dL during active use</t>
        </is>
      </c>
      <c r="D44" s="7" t="n">
        <v>4</v>
      </c>
      <c r="E44" s="8" t="inlineStr"/>
      <c r="F44" s="9">
        <f>IF(LEN(E44)=0,D44,E44)</f>
        <v/>
      </c>
      <c r="G44" s="2" t="n">
        <v>1</v>
      </c>
      <c r="H44" s="2" t="n">
        <v>10</v>
      </c>
      <c r="I44" s="2" t="inlineStr">
        <is>
          <t>Child BLL reduction from pot if fully effective during active use</t>
        </is>
      </c>
      <c r="J44" s="2" t="inlineStr">
        <is>
          <t>Widened synthesis assumption from cookware exposure evidence</t>
        </is>
      </c>
      <c r="K44" s="11" t="inlineStr">
        <is>
          <t>Change cautiously</t>
        </is>
      </c>
      <c r="L44" s="2" t="inlineStr">
        <is>
          <t>bll_pot_child</t>
        </is>
      </c>
    </row>
    <row r="45">
      <c r="A45" s="2" t="inlineStr">
        <is>
          <t>Product-specific BLL effect sizes</t>
        </is>
      </c>
      <c r="B45" s="2" t="inlineStr">
        <is>
          <t>Mother BLL reduction from full switch to safe pot</t>
        </is>
      </c>
      <c r="C45" s="2" t="inlineStr">
        <is>
          <t>ug/dL during active use</t>
        </is>
      </c>
      <c r="D45" s="7" t="n">
        <v>2</v>
      </c>
      <c r="E45" s="8" t="inlineStr"/>
      <c r="F45" s="9">
        <f>IF(LEN(E45)=0,D45,E45)</f>
        <v/>
      </c>
      <c r="G45" s="2" t="n">
        <v>0.5</v>
      </c>
      <c r="H45" s="2" t="n">
        <v>5</v>
      </c>
      <c r="I45" s="2" t="inlineStr">
        <is>
          <t>Mother BLL reduction from pot if fully effective during active use</t>
        </is>
      </c>
      <c r="J45" s="2" t="inlineStr">
        <is>
          <t>Widened synthesis assumption from cookware exposure evidence</t>
        </is>
      </c>
      <c r="K45" s="11" t="inlineStr">
        <is>
          <t>Change cautiously</t>
        </is>
      </c>
      <c r="L45" s="2" t="inlineStr">
        <is>
          <t>bll_pot_mother</t>
        </is>
      </c>
    </row>
    <row r="46">
      <c r="A46" s="2" t="inlineStr">
        <is>
          <t>Product-specific BLL effect sizes</t>
        </is>
      </c>
      <c r="B46" s="2" t="inlineStr">
        <is>
          <t>Child BLL reduction from full switch to safe feeding utensils</t>
        </is>
      </c>
      <c r="C46" s="2" t="inlineStr">
        <is>
          <t>ug/dL during active use</t>
        </is>
      </c>
      <c r="D46" s="7" t="n">
        <v>2</v>
      </c>
      <c r="E46" s="8" t="inlineStr"/>
      <c r="F46" s="9">
        <f>IF(LEN(E46)=0,D46,E46)</f>
        <v/>
      </c>
      <c r="G46" s="2" t="n">
        <v>0.5</v>
      </c>
      <c r="H46" s="2" t="n">
        <v>6</v>
      </c>
      <c r="I46" s="2" t="inlineStr">
        <is>
          <t>Child BLL reduction from mug or spoon if fully effective during active use</t>
        </is>
      </c>
      <c r="J46" s="2" t="inlineStr">
        <is>
          <t>Informed extrapolation with widened uncertainty</t>
        </is>
      </c>
      <c r="K46" s="11" t="inlineStr">
        <is>
          <t>Change cautiously</t>
        </is>
      </c>
      <c r="L46" s="2" t="inlineStr">
        <is>
          <t>bll_mug_child</t>
        </is>
      </c>
    </row>
    <row r="47">
      <c r="A47" s="2" t="inlineStr">
        <is>
          <t>Product-specific BLL effect sizes</t>
        </is>
      </c>
      <c r="B47" s="2" t="inlineStr">
        <is>
          <t>Mother BLL reduction from calcium</t>
        </is>
      </c>
      <c r="C47" s="2" t="inlineStr">
        <is>
          <t>ug/dL during active use</t>
        </is>
      </c>
      <c r="D47" s="7" t="n">
        <v>0.4</v>
      </c>
      <c r="E47" s="8" t="inlineStr"/>
      <c r="F47" s="9">
        <f>IF(LEN(E47)=0,D47,E47)</f>
        <v/>
      </c>
      <c r="G47" s="2" t="n">
        <v>0.2</v>
      </c>
      <c r="H47" s="2" t="n">
        <v>1.2</v>
      </c>
      <c r="I47" s="2" t="inlineStr">
        <is>
          <t>Mother BLL reduction from calcium if fully effective</t>
        </is>
      </c>
      <c r="J47" s="2" t="inlineStr">
        <is>
          <t>Ettinger et al. 2009</t>
        </is>
      </c>
      <c r="K47" s="11" t="inlineStr">
        <is>
          <t>Change cautiously</t>
        </is>
      </c>
      <c r="L47" s="2" t="inlineStr">
        <is>
          <t>bll_calc_mother</t>
        </is>
      </c>
    </row>
    <row r="48">
      <c r="A48" s="2" t="inlineStr">
        <is>
          <t>Product-specific BLL effect sizes</t>
        </is>
      </c>
      <c r="B48" s="2" t="inlineStr">
        <is>
          <t>Mother BLL reduction from safe maternal kohl</t>
        </is>
      </c>
      <c r="C48" s="2" t="inlineStr">
        <is>
          <t>ug/dL during active use</t>
        </is>
      </c>
      <c r="D48" s="7" t="n">
        <v>2</v>
      </c>
      <c r="E48" s="8" t="inlineStr"/>
      <c r="F48" s="9">
        <f>IF(LEN(E48)=0,D48,E48)</f>
        <v/>
      </c>
      <c r="G48" s="2" t="n">
        <v>0.5</v>
      </c>
      <c r="H48" s="2" t="n">
        <v>5</v>
      </c>
      <c r="I48" s="2" t="inlineStr">
        <is>
          <t>Mother BLL reduction from safe maternal kohl if fully effective</t>
        </is>
      </c>
      <c r="J48" s="2" t="inlineStr">
        <is>
          <t>Widened synthesized kohl evidence</t>
        </is>
      </c>
      <c r="K48" s="11" t="inlineStr">
        <is>
          <t>Change cautiously</t>
        </is>
      </c>
      <c r="L48" s="2" t="inlineStr">
        <is>
          <t>bll_maternal_kohl_mother</t>
        </is>
      </c>
    </row>
    <row r="49">
      <c r="A49" s="2" t="inlineStr">
        <is>
          <t>Product-specific BLL effect sizes</t>
        </is>
      </c>
      <c r="B49" s="2" t="inlineStr">
        <is>
          <t>Child BLL reduction from safe infant kohl</t>
        </is>
      </c>
      <c r="C49" s="2" t="inlineStr">
        <is>
          <t>ug/dL during active use</t>
        </is>
      </c>
      <c r="D49" s="7" t="n">
        <v>5</v>
      </c>
      <c r="E49" s="8" t="inlineStr"/>
      <c r="F49" s="9">
        <f>IF(LEN(E49)=0,D49,E49)</f>
        <v/>
      </c>
      <c r="G49" s="2" t="n">
        <v>1.5</v>
      </c>
      <c r="H49" s="2" t="n">
        <v>10</v>
      </c>
      <c r="I49" s="2" t="inlineStr">
        <is>
          <t>Child BLL reduction from safe infant kohl if fully effective during active use</t>
        </is>
      </c>
      <c r="J49" s="2" t="inlineStr">
        <is>
          <t>Widened synthesized kohl evidence</t>
        </is>
      </c>
      <c r="K49" s="11" t="inlineStr">
        <is>
          <t>Change cautiously</t>
        </is>
      </c>
      <c r="L49" s="2" t="inlineStr">
        <is>
          <t>bll_infant_kohl_child</t>
        </is>
      </c>
    </row>
    <row r="50">
      <c r="A50" s="12" t="inlineStr">
        <is>
          <t>Scientific and valuation parameters</t>
        </is>
      </c>
      <c r="B50" s="2" t="n"/>
      <c r="C50" s="2" t="n"/>
      <c r="D50" s="2" t="n"/>
      <c r="E50" s="6" t="n"/>
      <c r="F50" s="2" t="n"/>
      <c r="G50" s="2" t="n"/>
      <c r="H50" s="2" t="n"/>
      <c r="I50" s="2" t="n"/>
      <c r="J50" s="2" t="n"/>
      <c r="K50" s="2" t="n"/>
      <c r="L50" s="2" t="n"/>
    </row>
    <row r="51">
      <c r="A51" s="2" t="inlineStr">
        <is>
          <t>Scientific and valuation parameters</t>
        </is>
      </c>
      <c r="B51" s="2" t="inlineStr">
        <is>
          <t>IQ gain per 1 ug/dL lower developmental blood lead</t>
        </is>
      </c>
      <c r="C51" s="2" t="inlineStr">
        <is>
          <t>IQ points per ug/dL</t>
        </is>
      </c>
      <c r="D51" s="7" t="n">
        <v>0.35</v>
      </c>
      <c r="E51" s="8" t="inlineStr"/>
      <c r="F51" s="9">
        <f>IF(LEN(E51)=0,D51,E51)</f>
        <v/>
      </c>
      <c r="G51" s="2" t="n">
        <v>0.2</v>
      </c>
      <c r="H51" s="2" t="n">
        <v>0.6</v>
      </c>
      <c r="I51" s="2" t="inlineStr">
        <is>
          <t>IQ points gained per 1 ug/dL reduction in developmentally averaged child BLL</t>
        </is>
      </c>
      <c r="J51" s="2" t="inlineStr">
        <is>
          <t>Canfield Lanphear Jusko Schnaas plus LMIC contextualization</t>
        </is>
      </c>
      <c r="K51" s="11" t="inlineStr">
        <is>
          <t>Change cautiously</t>
        </is>
      </c>
      <c r="L51" s="2" t="inlineStr">
        <is>
          <t>iq_per_bll</t>
        </is>
      </c>
    </row>
    <row r="52">
      <c r="A52" s="2" t="inlineStr">
        <is>
          <t>Scientific and valuation parameters</t>
        </is>
      </c>
      <c r="B52" s="2" t="inlineStr">
        <is>
          <t>Earnings gain per IQ point</t>
        </is>
      </c>
      <c r="C52" s="2" t="inlineStr">
        <is>
          <t>Share of earnings</t>
        </is>
      </c>
      <c r="D52" s="7" t="n">
        <v>0.005</v>
      </c>
      <c r="E52" s="8" t="inlineStr"/>
      <c r="F52" s="9">
        <f>IF(LEN(E52)=0,D52,E52)</f>
        <v/>
      </c>
      <c r="G52" s="2" t="n">
        <v>0.003</v>
      </c>
      <c r="H52" s="2" t="n">
        <v>0.01</v>
      </c>
      <c r="I52" s="2" t="inlineStr">
        <is>
          <t>Percent earnings gain per IQ point</t>
        </is>
      </c>
      <c r="J52" s="2" t="inlineStr">
        <is>
          <t>LMIC-centered range using Ozawa 2022 Grosse et al. 2002 and Hanushek-Woessmann 2008</t>
        </is>
      </c>
      <c r="K52" s="11" t="inlineStr">
        <is>
          <t>Change cautiously</t>
        </is>
      </c>
      <c r="L52" s="2" t="inlineStr">
        <is>
          <t>earn_per_iq</t>
        </is>
      </c>
    </row>
    <row r="53">
      <c r="A53" s="2" t="inlineStr">
        <is>
          <t>Scientific and valuation parameters</t>
        </is>
      </c>
      <c r="B53" s="2" t="inlineStr">
        <is>
          <t>Maternal-to-fetal lead reduction transfer</t>
        </is>
      </c>
      <c r="C53" s="2" t="inlineStr">
        <is>
          <t>Share</t>
        </is>
      </c>
      <c r="D53" s="7" t="n">
        <v>0.8</v>
      </c>
      <c r="E53" s="8" t="inlineStr"/>
      <c r="F53" s="9">
        <f>IF(LEN(E53)=0,D53,E53)</f>
        <v/>
      </c>
      <c r="G53" s="2" t="n">
        <v>0.7</v>
      </c>
      <c r="H53" s="2" t="n">
        <v>0.95</v>
      </c>
      <c r="I53" s="2" t="inlineStr">
        <is>
          <t>Fraction of maternal lead reduction transmitted to fetal lead reduction</t>
        </is>
      </c>
      <c r="J53" s="2" t="inlineStr">
        <is>
          <t>Inferred from maternal-cord lead relationship</t>
        </is>
      </c>
      <c r="K53" s="11" t="inlineStr">
        <is>
          <t>Change cautiously</t>
        </is>
      </c>
      <c r="L53" s="2" t="inlineStr">
        <is>
          <t>fetal_transfer_coeff</t>
        </is>
      </c>
    </row>
    <row r="54">
      <c r="A54" s="2" t="inlineStr">
        <is>
          <t>Scientific and valuation parameters</t>
        </is>
      </c>
      <c r="B54" s="2" t="inlineStr">
        <is>
          <t>Maternal-to-infant transfer during the milk-dominated first year</t>
        </is>
      </c>
      <c r="C54" s="2" t="inlineStr">
        <is>
          <t>Share</t>
        </is>
      </c>
      <c r="D54" s="7" t="n">
        <v>0.2</v>
      </c>
      <c r="E54" s="8" t="inlineStr"/>
      <c r="F54" s="9">
        <f>IF(LEN(E54)=0,D54,E54)</f>
        <v/>
      </c>
      <c r="G54" s="2" t="n">
        <v>0.1</v>
      </c>
      <c r="H54" s="2" t="n">
        <v>0.35</v>
      </c>
      <c r="I54" s="2" t="inlineStr">
        <is>
          <t>Fraction of maternal lead reduction transmitted to the breastfed infant in the milk-dominated first year</t>
        </is>
      </c>
      <c r="J54" s="2" t="inlineStr">
        <is>
          <t>Structural bridge from maternal blood lead to early-infancy exposure</t>
        </is>
      </c>
      <c r="K54" s="11" t="inlineStr">
        <is>
          <t>Change cautiously</t>
        </is>
      </c>
      <c r="L54" s="2" t="inlineStr">
        <is>
          <t>lactational_transfer_coeff</t>
        </is>
      </c>
    </row>
    <row r="55">
      <c r="A55" s="2" t="inlineStr">
        <is>
          <t>Scientific and valuation parameters</t>
        </is>
      </c>
      <c r="B55" s="2" t="inlineStr">
        <is>
          <t>Share of cognitive harm in last four months in utero</t>
        </is>
      </c>
      <c r="C55" s="2" t="inlineStr">
        <is>
          <t>Share</t>
        </is>
      </c>
      <c r="D55" s="7" t="n">
        <v>0.3</v>
      </c>
      <c r="E55" s="8" t="inlineStr"/>
      <c r="F55" s="9">
        <f>IF(LEN(E55)=0,D55,E55)</f>
        <v/>
      </c>
      <c r="G55" s="2" t="n">
        <v>0.2</v>
      </c>
      <c r="H55" s="2" t="n">
        <v>0.4</v>
      </c>
      <c r="I55" s="2" t="inlineStr">
        <is>
          <t>Share of developmental cognitive harm attributed to the last four months in utero</t>
        </is>
      </c>
      <c r="J55" s="2" t="inlineStr">
        <is>
          <t>Timing-weight assumption informed by prenatal lead literature</t>
        </is>
      </c>
      <c r="K55" s="11" t="inlineStr">
        <is>
          <t>Change cautiously</t>
        </is>
      </c>
      <c r="L55" s="2" t="inlineStr">
        <is>
          <t>share_prenatal_last4m</t>
        </is>
      </c>
    </row>
    <row r="56">
      <c r="A56" s="2" t="inlineStr">
        <is>
          <t>Scientific and valuation parameters</t>
        </is>
      </c>
      <c r="B56" s="2" t="inlineStr">
        <is>
          <t>Share of cognitive harm in year 1</t>
        </is>
      </c>
      <c r="C56" s="2" t="inlineStr">
        <is>
          <t>Share</t>
        </is>
      </c>
      <c r="D56" s="7" t="n">
        <v>0.3</v>
      </c>
      <c r="E56" s="8" t="inlineStr"/>
      <c r="F56" s="9">
        <f>IF(LEN(E56)=0,D56,E56)</f>
        <v/>
      </c>
      <c r="G56" s="2" t="n">
        <v>0.2</v>
      </c>
      <c r="H56" s="2" t="n">
        <v>0.4</v>
      </c>
      <c r="I56" s="2" t="inlineStr">
        <is>
          <t>Share of developmental cognitive harm attributed to the first year of life</t>
        </is>
      </c>
      <c r="J56" s="2" t="inlineStr">
        <is>
          <t>Timing-weight assumption informed by infancy lead literature</t>
        </is>
      </c>
      <c r="K56" s="11" t="inlineStr">
        <is>
          <t>Change cautiously</t>
        </is>
      </c>
      <c r="L56" s="2" t="inlineStr">
        <is>
          <t>share_year1</t>
        </is>
      </c>
    </row>
    <row r="57">
      <c r="A57" s="5" t="inlineStr">
        <is>
          <t>Secondary health parameters</t>
        </is>
      </c>
      <c r="B57" s="2" t="n"/>
      <c r="C57" s="2" t="n"/>
      <c r="D57" s="2" t="n"/>
      <c r="E57" s="6" t="n"/>
      <c r="F57" s="2" t="n"/>
      <c r="G57" s="2" t="n"/>
      <c r="H57" s="2" t="n"/>
      <c r="I57" s="2" t="n"/>
      <c r="J57" s="2" t="n"/>
      <c r="K57" s="2" t="n"/>
      <c r="L57" s="2" t="n"/>
    </row>
    <row r="58">
      <c r="A58" s="2" t="inlineStr">
        <is>
          <t>Secondary health parameters</t>
        </is>
      </c>
      <c r="B58" s="2" t="inlineStr">
        <is>
          <t>Baseline preeclampsia prevalence</t>
        </is>
      </c>
      <c r="C58" s="2" t="inlineStr">
        <is>
          <t>Probability</t>
        </is>
      </c>
      <c r="D58" s="7" t="n">
        <v>0.04</v>
      </c>
      <c r="E58" s="8" t="inlineStr"/>
      <c r="F58" s="9">
        <f>IF(LEN(E58)=0,D58,E58)</f>
        <v/>
      </c>
      <c r="G58" s="2" t="n">
        <v>0.02</v>
      </c>
      <c r="H58" s="2" t="n">
        <v>0.06</v>
      </c>
      <c r="I58" s="2" t="inlineStr">
        <is>
          <t>Baseline preeclampsia prevalence</t>
        </is>
      </c>
      <c r="J58" s="2" t="inlineStr">
        <is>
          <t>WHO-compatible global burden range</t>
        </is>
      </c>
      <c r="K58" s="2" t="inlineStr">
        <is>
          <t>Good local input if available</t>
        </is>
      </c>
      <c r="L58" s="2" t="inlineStr">
        <is>
          <t>preeclampsia_base_prev</t>
        </is>
      </c>
    </row>
    <row r="59">
      <c r="A59" s="2" t="inlineStr">
        <is>
          <t>Secondary health parameters</t>
        </is>
      </c>
      <c r="B59" s="2" t="inlineStr">
        <is>
          <t>Preeclampsia odds ratio per 1 ug/dL lead</t>
        </is>
      </c>
      <c r="C59" s="2" t="inlineStr">
        <is>
          <t>Odds ratio</t>
        </is>
      </c>
      <c r="D59" s="7" t="n">
        <v>1.018</v>
      </c>
      <c r="E59" s="8" t="inlineStr"/>
      <c r="F59" s="9">
        <f>IF(LEN(E59)=0,D59,E59)</f>
        <v/>
      </c>
      <c r="G59" s="2" t="n">
        <v>1.016</v>
      </c>
      <c r="H59" s="2" t="n">
        <v>1.02</v>
      </c>
      <c r="I59" s="2" t="inlineStr">
        <is>
          <t>Odds ratio per 1 ug/dL lead increase</t>
        </is>
      </c>
      <c r="J59" s="2" t="inlineStr">
        <is>
          <t>Poropat et al. 2018</t>
        </is>
      </c>
      <c r="K59" s="11" t="inlineStr">
        <is>
          <t>Change cautiously</t>
        </is>
      </c>
      <c r="L59" s="2" t="inlineStr">
        <is>
          <t>preeclampsia_or</t>
        </is>
      </c>
    </row>
    <row r="60">
      <c r="A60" s="2" t="inlineStr">
        <is>
          <t>Secondary health parameters</t>
        </is>
      </c>
      <c r="B60" s="2" t="inlineStr">
        <is>
          <t>Baseline preterm birth prevalence</t>
        </is>
      </c>
      <c r="C60" s="2" t="inlineStr">
        <is>
          <t>Probability</t>
        </is>
      </c>
      <c r="D60" s="7" t="n">
        <v>0.12</v>
      </c>
      <c r="E60" s="8" t="inlineStr"/>
      <c r="F60" s="9">
        <f>IF(LEN(E60)=0,D60,E60)</f>
        <v/>
      </c>
      <c r="G60" s="2" t="n">
        <v>0.08</v>
      </c>
      <c r="H60" s="2" t="n">
        <v>0.15</v>
      </c>
      <c r="I60" s="2" t="inlineStr">
        <is>
          <t>Baseline preterm prevalence</t>
        </is>
      </c>
      <c r="J60" s="2" t="inlineStr">
        <is>
          <t>WHO preterm birth fact sheet</t>
        </is>
      </c>
      <c r="K60" s="2" t="inlineStr">
        <is>
          <t>Good local input if available</t>
        </is>
      </c>
      <c r="L60" s="2" t="inlineStr">
        <is>
          <t>preterm_base_prev</t>
        </is>
      </c>
    </row>
    <row r="61">
      <c r="A61" s="2" t="inlineStr">
        <is>
          <t>Secondary health parameters</t>
        </is>
      </c>
      <c r="B61" s="2" t="inlineStr">
        <is>
          <t>Preterm birth odds ratio per 1 ug/dL lead</t>
        </is>
      </c>
      <c r="C61" s="2" t="inlineStr">
        <is>
          <t>Odds ratio</t>
        </is>
      </c>
      <c r="D61" s="7" t="n">
        <v>1.025</v>
      </c>
      <c r="E61" s="8" t="inlineStr"/>
      <c r="F61" s="9">
        <f>IF(LEN(E61)=0,D61,E61)</f>
        <v/>
      </c>
      <c r="G61" s="2" t="n">
        <v>1.02</v>
      </c>
      <c r="H61" s="2" t="n">
        <v>1.03</v>
      </c>
      <c r="I61" s="2" t="inlineStr">
        <is>
          <t>Odds ratio per 1 ug/dL lead increase</t>
        </is>
      </c>
      <c r="J61" s="2" t="inlineStr">
        <is>
          <t>Prenatal lead birth-outcome synthesis</t>
        </is>
      </c>
      <c r="K61" s="11" t="inlineStr">
        <is>
          <t>Change cautiously</t>
        </is>
      </c>
      <c r="L61" s="2" t="inlineStr">
        <is>
          <t>preterm_or</t>
        </is>
      </c>
    </row>
    <row r="62">
      <c r="A62" s="2" t="inlineStr">
        <is>
          <t>Secondary health parameters</t>
        </is>
      </c>
      <c r="B62" s="2" t="inlineStr">
        <is>
          <t>Pregnancy timing adjustment for preeclampsia pathway</t>
        </is>
      </c>
      <c r="C62" s="2" t="inlineStr">
        <is>
          <t>Share</t>
        </is>
      </c>
      <c r="D62" s="7" t="n">
        <v>0.75</v>
      </c>
      <c r="E62" s="8" t="inlineStr"/>
      <c r="F62" s="9">
        <f>IF(LEN(E62)=0,D62,E62)</f>
        <v/>
      </c>
      <c r="G62" s="2" t="n">
        <v>0.5</v>
      </c>
      <c r="H62" s="2" t="n">
        <v>1</v>
      </c>
      <c r="I62" s="2" t="inlineStr">
        <is>
          <t>Share of full maternal BLL reduction relevant to preeclampsia once intervention starts mid-pregnancy</t>
        </is>
      </c>
      <c r="J62" s="2" t="inlineStr">
        <is>
          <t>Timing adjustment for later pregnancy risk window</t>
        </is>
      </c>
      <c r="K62" s="11" t="inlineStr">
        <is>
          <t>Change cautiously</t>
        </is>
      </c>
      <c r="L62" s="2" t="inlineStr">
        <is>
          <t>preeclampsia_timing_mult</t>
        </is>
      </c>
    </row>
    <row r="63">
      <c r="A63" s="2" t="inlineStr">
        <is>
          <t>Secondary health parameters</t>
        </is>
      </c>
      <c r="B63" s="2" t="inlineStr">
        <is>
          <t>Pregnancy timing adjustment for preterm pathway</t>
        </is>
      </c>
      <c r="C63" s="2" t="inlineStr">
        <is>
          <t>Share</t>
        </is>
      </c>
      <c r="D63" s="7" t="n">
        <v>0.7</v>
      </c>
      <c r="E63" s="8" t="inlineStr"/>
      <c r="F63" s="9">
        <f>IF(LEN(E63)=0,D63,E63)</f>
        <v/>
      </c>
      <c r="G63" s="2" t="n">
        <v>0.4</v>
      </c>
      <c r="H63" s="2" t="n">
        <v>1</v>
      </c>
      <c r="I63" s="2" t="inlineStr">
        <is>
          <t>Share of full maternal BLL reduction relevant to preterm birth once intervention starts mid-pregnancy</t>
        </is>
      </c>
      <c r="J63" s="2" t="inlineStr">
        <is>
          <t>Timing adjustment for pregnancy-window uncertainty</t>
        </is>
      </c>
      <c r="K63" s="11" t="inlineStr">
        <is>
          <t>Change cautiously</t>
        </is>
      </c>
      <c r="L63" s="2" t="inlineStr">
        <is>
          <t>preterm_timing_mult</t>
        </is>
      </c>
    </row>
    <row r="64">
      <c r="A64" s="2" t="inlineStr">
        <is>
          <t>Secondary health parameters</t>
        </is>
      </c>
      <c r="B64" s="2" t="inlineStr">
        <is>
          <t>DALYs per preterm birth averted</t>
        </is>
      </c>
      <c r="C64" s="2" t="inlineStr">
        <is>
          <t>DALYs</t>
        </is>
      </c>
      <c r="D64" s="7" t="n">
        <v>0.75</v>
      </c>
      <c r="E64" s="8" t="inlineStr"/>
      <c r="F64" s="9">
        <f>IF(LEN(E64)=0,D64,E64)</f>
        <v/>
      </c>
      <c r="G64" s="2" t="n">
        <v>0.5</v>
      </c>
      <c r="H64" s="2" t="n">
        <v>1</v>
      </c>
      <c r="I64" s="2" t="inlineStr">
        <is>
          <t>DALYs per preterm case averted</t>
        </is>
      </c>
      <c r="J64" s="2" t="inlineStr">
        <is>
          <t>Reduced-form valuation assumption</t>
        </is>
      </c>
      <c r="K64" s="11" t="inlineStr">
        <is>
          <t>Change cautiously</t>
        </is>
      </c>
      <c r="L64" s="2" t="inlineStr">
        <is>
          <t>neonatal_daly_mult</t>
        </is>
      </c>
    </row>
    <row r="65">
      <c r="A65" s="2" t="inlineStr">
        <is>
          <t>Secondary health parameters</t>
        </is>
      </c>
      <c r="B65" s="2" t="inlineStr">
        <is>
          <t>Adult cardiovascular DALYs per 1 ug/dL lifetime lead reduction</t>
        </is>
      </c>
      <c r="C65" s="2" t="inlineStr">
        <is>
          <t>DALYs</t>
        </is>
      </c>
      <c r="D65" s="7" t="n">
        <v>0.0033</v>
      </c>
      <c r="E65" s="8" t="inlineStr"/>
      <c r="F65" s="9">
        <f>IF(LEN(E65)=0,D65,E65)</f>
        <v/>
      </c>
      <c r="G65" s="2" t="n">
        <v>0.002</v>
      </c>
      <c r="H65" s="2" t="n">
        <v>0.005</v>
      </c>
      <c r="I65" s="2" t="inlineStr">
        <is>
          <t>Lifetime adult DALYs per 1 ug/dL sustained reduction</t>
        </is>
      </c>
      <c r="J65" s="2" t="inlineStr">
        <is>
          <t>Lead-CVD burden modeling assumption</t>
        </is>
      </c>
      <c r="K65" s="11" t="inlineStr">
        <is>
          <t>Change cautiously</t>
        </is>
      </c>
      <c r="L65" s="2" t="inlineStr">
        <is>
          <t>cvd_daly_per_ug_lifetime</t>
        </is>
      </c>
    </row>
    <row r="66">
      <c r="A66" s="2" t="inlineStr">
        <is>
          <t>Secondary health parameters</t>
        </is>
      </c>
      <c r="B66" s="2" t="inlineStr">
        <is>
          <t>Value per DALY relative to annual productivity</t>
        </is>
      </c>
      <c r="C66" s="2" t="inlineStr">
        <is>
          <t>Multiplier</t>
        </is>
      </c>
      <c r="D66" s="7" t="n">
        <v>1.6</v>
      </c>
      <c r="E66" s="8" t="inlineStr"/>
      <c r="F66" s="9">
        <f>IF(LEN(E66)=0,D66,E66)</f>
        <v/>
      </c>
      <c r="G66" s="2" t="n">
        <v>1</v>
      </c>
      <c r="H66" s="2" t="n">
        <v>3</v>
      </c>
      <c r="I66" s="2" t="inlineStr">
        <is>
          <t>VSLY multiplier relative to annual productivity</t>
        </is>
      </c>
      <c r="J66" s="2" t="inlineStr">
        <is>
          <t>Robinson et al. style valuation range</t>
        </is>
      </c>
      <c r="K66" s="2" t="inlineStr">
        <is>
          <t>Policy choice</t>
        </is>
      </c>
      <c r="L66" s="2" t="inlineStr">
        <is>
          <t>vsly_mult</t>
        </is>
      </c>
    </row>
    <row r="67">
      <c r="A67" s="2" t="inlineStr">
        <is>
          <t>Secondary health parameters</t>
        </is>
      </c>
      <c r="B67" s="2" t="inlineStr">
        <is>
          <t>DALYs per preeclampsia case</t>
        </is>
      </c>
      <c r="C67" s="2" t="inlineStr">
        <is>
          <t>DALYs</t>
        </is>
      </c>
      <c r="D67" s="7" t="n">
        <v>0.003</v>
      </c>
      <c r="E67" s="8" t="inlineStr"/>
      <c r="F67" s="9">
        <f>IF(LEN(E67)=0,D67,E67)</f>
        <v/>
      </c>
      <c r="G67" s="2" t="n">
        <v>0.001</v>
      </c>
      <c r="H67" s="2" t="n">
        <v>0.005</v>
      </c>
      <c r="I67" s="2" t="inlineStr">
        <is>
          <t>DALYs per preeclampsia case</t>
        </is>
      </c>
      <c r="J67" s="2" t="inlineStr">
        <is>
          <t>Reduced-form valuation assumption</t>
        </is>
      </c>
      <c r="K67" s="11" t="inlineStr">
        <is>
          <t>Change cautiously</t>
        </is>
      </c>
      <c r="L67" s="2" t="inlineStr">
        <is>
          <t>preeclampsia_daly_wt</t>
        </is>
      </c>
    </row>
    <row r="68">
      <c r="A68" s="5" t="inlineStr">
        <is>
          <t>Timing and duration</t>
        </is>
      </c>
      <c r="B68" s="2" t="n"/>
      <c r="C68" s="2" t="n"/>
      <c r="D68" s="2" t="n"/>
      <c r="E68" s="6" t="n"/>
      <c r="F68" s="2" t="n"/>
      <c r="G68" s="2" t="n"/>
      <c r="H68" s="2" t="n"/>
      <c r="I68" s="2" t="n"/>
      <c r="J68" s="2" t="n"/>
      <c r="K68" s="2" t="n"/>
      <c r="L68" s="2" t="n"/>
    </row>
    <row r="69">
      <c r="A69" s="2" t="inlineStr">
        <is>
          <t>Timing and duration</t>
        </is>
      </c>
      <c r="B69" s="2" t="inlineStr">
        <is>
          <t>Years safe pot protects</t>
        </is>
      </c>
      <c r="C69" s="2" t="inlineStr">
        <is>
          <t>Years</t>
        </is>
      </c>
      <c r="D69" s="7" t="n">
        <v>4</v>
      </c>
      <c r="E69" s="8" t="inlineStr"/>
      <c r="F69" s="9">
        <f>IF(LEN(E69)=0,D69,E69)</f>
        <v/>
      </c>
      <c r="G69" s="2" t="n">
        <v>2</v>
      </c>
      <c r="H69" s="2" t="n">
        <v>5</v>
      </c>
      <c r="I69" s="2" t="inlineStr">
        <is>
          <t>Years pot protects</t>
        </is>
      </c>
      <c r="J69" s="2" t="inlineStr">
        <is>
          <t>Program duration assumption with widened uncertainty</t>
        </is>
      </c>
      <c r="K69" s="2" t="inlineStr">
        <is>
          <t>Good local input if programme design differs</t>
        </is>
      </c>
      <c r="L69" s="2" t="inlineStr">
        <is>
          <t>years_pot</t>
        </is>
      </c>
    </row>
    <row r="70">
      <c r="A70" s="2" t="inlineStr">
        <is>
          <t>Timing and duration</t>
        </is>
      </c>
      <c r="B70" s="2" t="inlineStr">
        <is>
          <t>Years safe maternal kohl protects</t>
        </is>
      </c>
      <c r="C70" s="2" t="inlineStr">
        <is>
          <t>Years</t>
        </is>
      </c>
      <c r="D70" s="7" t="n">
        <v>1</v>
      </c>
      <c r="E70" s="8" t="inlineStr"/>
      <c r="F70" s="9">
        <f>IF(LEN(E70)=0,D70,E70)</f>
        <v/>
      </c>
      <c r="G70" s="2" t="n">
        <v>0.5</v>
      </c>
      <c r="H70" s="2" t="n">
        <v>2</v>
      </c>
      <c r="I70" s="2" t="inlineStr">
        <is>
          <t>Years maternal kohl protects</t>
        </is>
      </c>
      <c r="J70" s="2" t="inlineStr">
        <is>
          <t>Program duration assumption with widened uncertainty</t>
        </is>
      </c>
      <c r="K70" s="2" t="inlineStr">
        <is>
          <t>Good local input if programme design differs</t>
        </is>
      </c>
      <c r="L70" s="2" t="inlineStr">
        <is>
          <t>years_kohl_maternal</t>
        </is>
      </c>
    </row>
    <row r="71">
      <c r="A71" s="2" t="inlineStr">
        <is>
          <t>Timing and duration</t>
        </is>
      </c>
      <c r="B71" s="2" t="inlineStr">
        <is>
          <t>Years safe infant kohl protects</t>
        </is>
      </c>
      <c r="C71" s="2" t="inlineStr">
        <is>
          <t>Years</t>
        </is>
      </c>
      <c r="D71" s="7" t="n">
        <v>1</v>
      </c>
      <c r="E71" s="8" t="inlineStr"/>
      <c r="F71" s="9">
        <f>IF(LEN(E71)=0,D71,E71)</f>
        <v/>
      </c>
      <c r="G71" s="2" t="n">
        <v>0.5</v>
      </c>
      <c r="H71" s="2" t="n">
        <v>2</v>
      </c>
      <c r="I71" s="2" t="inlineStr">
        <is>
          <t>Years infant kohl protects</t>
        </is>
      </c>
      <c r="J71" s="2" t="inlineStr">
        <is>
          <t>Program duration assumption with widened uncertainty</t>
        </is>
      </c>
      <c r="K71" s="2" t="inlineStr">
        <is>
          <t>Good local input if programme design differs</t>
        </is>
      </c>
      <c r="L71" s="2" t="inlineStr">
        <is>
          <t>years_kohl_infant</t>
        </is>
      </c>
    </row>
    <row r="72">
      <c r="A72" s="2" t="inlineStr">
        <is>
          <t>Timing and duration</t>
        </is>
      </c>
      <c r="B72" s="2" t="inlineStr">
        <is>
          <t>Years safe utensils protect</t>
        </is>
      </c>
      <c r="C72" s="2" t="inlineStr">
        <is>
          <t>Years</t>
        </is>
      </c>
      <c r="D72" s="7" t="n">
        <v>2</v>
      </c>
      <c r="E72" s="8" t="inlineStr"/>
      <c r="F72" s="9">
        <f>IF(LEN(E72)=0,D72,E72)</f>
        <v/>
      </c>
      <c r="G72" s="2" t="n">
        <v>1</v>
      </c>
      <c r="H72" s="2" t="n">
        <v>3</v>
      </c>
      <c r="I72" s="2" t="inlineStr">
        <is>
          <t>Years utensils protect</t>
        </is>
      </c>
      <c r="J72" s="2" t="inlineStr">
        <is>
          <t>Program duration assumption with widened uncertainty</t>
        </is>
      </c>
      <c r="K72" s="2" t="inlineStr">
        <is>
          <t>Good local input if programme design differs</t>
        </is>
      </c>
      <c r="L72" s="2" t="inlineStr">
        <is>
          <t>years_utensils</t>
        </is>
      </c>
    </row>
    <row r="73">
      <c r="A73" s="2" t="inlineStr">
        <is>
          <t>Timing and duration</t>
        </is>
      </c>
      <c r="B73" s="2" t="inlineStr">
        <is>
          <t>Years calcium affects maternal lead</t>
        </is>
      </c>
      <c r="C73" s="2" t="inlineStr">
        <is>
          <t>Years</t>
        </is>
      </c>
      <c r="D73" s="7" t="n">
        <v>0.5</v>
      </c>
      <c r="E73" s="8" t="inlineStr"/>
      <c r="F73" s="9">
        <f>IF(LEN(E73)=0,D73,E73)</f>
        <v/>
      </c>
      <c r="G73" s="2" t="n">
        <v>0.25</v>
      </c>
      <c r="H73" s="2" t="n">
        <v>1</v>
      </c>
      <c r="I73" s="2" t="inlineStr">
        <is>
          <t>Years calcium protects</t>
        </is>
      </c>
      <c r="J73" s="2" t="inlineStr">
        <is>
          <t>Program duration assumption with widened uncertainty</t>
        </is>
      </c>
      <c r="K73" s="2" t="inlineStr">
        <is>
          <t>Good local input if programme design differs</t>
        </is>
      </c>
      <c r="L73" s="2" t="inlineStr">
        <is>
          <t>years_calcium</t>
        </is>
      </c>
    </row>
    <row r="74">
      <c r="A74" s="2" t="inlineStr">
        <is>
          <t>Timing and duration</t>
        </is>
      </c>
      <c r="B74" s="2" t="inlineStr">
        <is>
          <t>Reference age for adult cardiovascular benefits</t>
        </is>
      </c>
      <c r="C74" s="2" t="inlineStr">
        <is>
          <t>Years</t>
        </is>
      </c>
      <c r="D74" s="7" t="n">
        <v>65</v>
      </c>
      <c r="E74" s="8" t="inlineStr"/>
      <c r="F74" s="9">
        <f>IF(LEN(E74)=0,D74,E74)</f>
        <v/>
      </c>
      <c r="G74" s="2" t="n">
        <v>65</v>
      </c>
      <c r="H74" s="2" t="n">
        <v>65</v>
      </c>
      <c r="I74" s="2" t="inlineStr">
        <is>
          <t>Reference years for adult cumulative exposure</t>
        </is>
      </c>
      <c r="J74" s="2" t="inlineStr">
        <is>
          <t>Modeling assumption</t>
        </is>
      </c>
      <c r="K74" s="2" t="inlineStr">
        <is>
          <t>Usually leave at default</t>
        </is>
      </c>
      <c r="L74" s="2" t="inlineStr">
        <is>
          <t>adult_reference_years</t>
        </is>
      </c>
    </row>
    <row r="75">
      <c r="A75" s="2" t="inlineStr">
        <is>
          <t>Timing and duration</t>
        </is>
      </c>
      <c r="B75" s="2" t="inlineStr">
        <is>
          <t>Grandparent pot exposure multiplier</t>
        </is>
      </c>
      <c r="C75" s="2" t="inlineStr">
        <is>
          <t>Share of child pot effect</t>
        </is>
      </c>
      <c r="D75" s="7" t="n">
        <v>0.5</v>
      </c>
      <c r="E75" s="8" t="inlineStr"/>
      <c r="F75" s="9">
        <f>IF(LEN(E75)=0,D75,E75)</f>
        <v/>
      </c>
      <c r="G75" s="2" t="n">
        <v>0.5</v>
      </c>
      <c r="H75" s="2" t="n">
        <v>0.5</v>
      </c>
      <c r="I75" s="2" t="inlineStr">
        <is>
          <t>Grandparent gets half the pot effect</t>
        </is>
      </c>
      <c r="J75" s="2" t="inlineStr">
        <is>
          <t>Modeling assumption</t>
        </is>
      </c>
      <c r="K75" s="2" t="inlineStr">
        <is>
          <t>Usually leave at default</t>
        </is>
      </c>
      <c r="L75" s="2" t="inlineStr">
        <is>
          <t>gp_pot_effect_multiplier</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56" customWidth="1" min="2" max="2"/>
    <col width="76" customWidth="1" min="3" max="3"/>
    <col width="64" customWidth="1" min="4" max="4"/>
  </cols>
  <sheetData>
    <row r="1">
      <c r="A1" s="4" t="inlineStr">
        <is>
          <t>Concept</t>
        </is>
      </c>
      <c r="B1" s="4" t="inlineStr">
        <is>
          <t>Plain-language meaning</t>
        </is>
      </c>
      <c r="C1" s="4" t="inlineStr">
        <is>
          <t>Formula used in this workbook</t>
        </is>
      </c>
      <c r="D1" s="4" t="inlineStr">
        <is>
          <t>Notes</t>
        </is>
      </c>
    </row>
    <row r="2">
      <c r="A2" s="2" t="inlineStr">
        <is>
          <t>Present value of lifetime earnings</t>
        </is>
      </c>
      <c r="B2" s="2" t="inlineStr">
        <is>
          <t>Expected discounted lifetime earnings from birth.</t>
        </is>
      </c>
      <c r="C2" s="2" t="inlineStr">
        <is>
          <t>Productivity x growth/discount adjustment from birth to labour entry x sum of working-year survival and growth/discount terms.</t>
        </is>
      </c>
      <c r="D2" s="2" t="inlineStr">
        <is>
          <t>Productivity is GDP PPP per capita x labour share of national income.</t>
        </is>
      </c>
    </row>
    <row r="3">
      <c r="A3" s="2" t="inlineStr">
        <is>
          <t>Productivity</t>
        </is>
      </c>
      <c r="B3" s="2" t="inlineStr">
        <is>
          <t>Annual market-labour output used to value lifetime earnings and VSLY.</t>
        </is>
      </c>
      <c r="C3" s="2" t="inlineStr">
        <is>
          <t>GDP per capita, PPP x labour share of national income.</t>
        </is>
      </c>
      <c r="D3" s="2" t="inlineStr">
        <is>
          <t>This follows social cost-benefit practice and includes self-employment and informal market production better than observed wages alone.</t>
        </is>
      </c>
    </row>
    <row r="4">
      <c r="A4" s="2" t="inlineStr">
        <is>
          <t>Pot implementation chain</t>
        </is>
      </c>
      <c r="B4" s="2" t="inlineStr">
        <is>
          <t>The safe pot only generates benefit when the household is correctly targeted, reaches ANC, receives a voucher, finds a stocked merchant, redeems the voucher, and uses the pot for the pregnant woman or young child.</t>
        </is>
      </c>
      <c r="C4" s="2" t="inlineStr">
        <is>
          <t>Unsafe-pot prevalence x ANC attendance x voucher issued x merchant stocked x voucher redeemed x targeted use x (1 - residual unsafe-use harm).</t>
        </is>
      </c>
      <c r="D4" s="2" t="inlineStr">
        <is>
          <t>Costs for the pot are incurred only after attendance, voucher issuance, merchant stock, and redemption; fixed overhead remains regardless.</t>
        </is>
      </c>
    </row>
    <row r="5">
      <c r="A5" s="2" t="inlineStr">
        <is>
          <t>Clinic-distributed items</t>
        </is>
      </c>
      <c r="B5" s="2" t="inlineStr">
        <is>
          <t>Calcium, child utensils, maternal kohl, and infant kohl use shorter delivery chains.</t>
        </is>
      </c>
      <c r="C5" s="2" t="inlineStr">
        <is>
          <t>Relevant prevalence where applicable x relevant health-system contact x fidelity x adherence.</t>
        </is>
      </c>
      <c r="D5" s="2" t="inlineStr">
        <is>
          <t>Calcium currently helps all reached pregnant women in the targeted area rather than only women with a measured lead source.</t>
        </is>
      </c>
    </row>
    <row r="6">
      <c r="A6" s="2" t="inlineStr">
        <is>
          <t>Developmental timing</t>
        </is>
      </c>
      <c r="B6" s="2" t="inlineStr">
        <is>
          <t>An intervention that lasts only during part of pregnancy or early childhood does not receive the full cognitive benefit of lowering BLL throughout the developmental window.</t>
        </is>
      </c>
      <c r="C6" s="2" t="inlineStr">
        <is>
          <t>Prenatal BLL reduction x prenatal share + postnatal BLL reduction x years-protected share.</t>
        </is>
      </c>
      <c r="D6" s="2" t="inlineStr">
        <is>
          <t>The default shares are 30% for the last four months in utero, 30% for year 1, and 40% for years 2-5 combined.</t>
        </is>
      </c>
    </row>
    <row r="7">
      <c r="A7" s="2" t="inlineStr">
        <is>
          <t>IQ gain</t>
        </is>
      </c>
      <c r="B7" s="2" t="inlineStr">
        <is>
          <t>Lower developmentally weighted child blood lead increases expected IQ.</t>
        </is>
      </c>
      <c r="C7" s="2" t="inlineStr">
        <is>
          <t>Developmentally weighted child BLL reduction x IQ gain per 1 ug/dL lower BLL.</t>
        </is>
      </c>
      <c r="D7" s="2" t="inlineStr">
        <is>
          <t>The full Python model also reports a nonlinear log-BLL robustness check.</t>
        </is>
      </c>
    </row>
    <row r="8">
      <c r="A8" s="2" t="inlineStr">
        <is>
          <t>Lifetime earnings gain</t>
        </is>
      </c>
      <c r="B8" s="2" t="inlineStr">
        <is>
          <t>IQ gains raise expected lifetime earnings.</t>
        </is>
      </c>
      <c r="C8" s="2" t="inlineStr">
        <is>
          <t>Present value of lifetime earnings x earnings gain per IQ point x IQ gain.</t>
        </is>
      </c>
      <c r="D8" s="2" t="inlineStr">
        <is>
          <t>This is the main cognition-channel social benefit.</t>
        </is>
      </c>
    </row>
    <row r="9">
      <c r="A9" s="2" t="inlineStr">
        <is>
          <t>Benefit-cost ratio</t>
        </is>
      </c>
      <c r="B9" s="2" t="inlineStr">
        <is>
          <t>Social benefits divided by programme costs.</t>
        </is>
      </c>
      <c r="C9" s="2" t="inlineStr">
        <is>
          <t>Benefits / costs.</t>
        </is>
      </c>
      <c r="D9" s="2" t="inlineStr">
        <is>
          <t>The Topline sheet compares the workbook-default mode-only run with your local mode-only run for cognition-only, maternal/neonatal, and total BCRs.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4" t="inlineStr">
        <is>
          <t>Working year</t>
        </is>
      </c>
      <c r="B1" s="4" t="inlineStr">
        <is>
          <t>Survival S_t (default)</t>
        </is>
      </c>
      <c r="C1" s="4" t="inlineStr">
        <is>
          <t>Survival S_t (local)</t>
        </is>
      </c>
      <c r="D1" s="4" t="inlineStr">
        <is>
          <t>Growth-discount factor (default)</t>
        </is>
      </c>
      <c r="E1" s="4" t="inlineStr">
        <is>
          <t>Growth-discount factor (local)</t>
        </is>
      </c>
      <c r="F1" s="4" t="inlineStr">
        <is>
          <t>Included in work life (default)</t>
        </is>
      </c>
      <c r="G1" s="4" t="inlineStr">
        <is>
          <t>Included in work life (local)</t>
        </is>
      </c>
      <c r="H1" s="4" t="inlineStr">
        <is>
          <t>PV term (default)</t>
        </is>
      </c>
      <c r="I1" s="4" t="inlineStr">
        <is>
          <t>PV term (local)</t>
        </is>
      </c>
    </row>
    <row r="2">
      <c r="A2" s="2" t="n">
        <v>1</v>
      </c>
      <c r="B2" s="2">
        <f>Inputs!$D$7-(Inputs!$D$7-Inputs!$D$8)*POWER((A2-1)/47,Inputs!$D$9)</f>
        <v/>
      </c>
      <c r="C2" s="2">
        <f>Inputs!$F$7-(Inputs!$F$7-Inputs!$F$8)*POWER((A2-1)/47,Inputs!$F$9)</f>
        <v/>
      </c>
      <c r="D2" s="2">
        <f>POWER(((1+Inputs!$D$5)/(1+Inputs!$D$6)),A2-1)</f>
        <v/>
      </c>
      <c r="E2" s="2">
        <f>POWER(((1+Inputs!$F$5)/(1+Inputs!$F$6)),A2-1)</f>
        <v/>
      </c>
      <c r="F2" s="2">
        <f>--(A2&lt;=(65-Inputs!$D$10+1))</f>
        <v/>
      </c>
      <c r="G2" s="2">
        <f>--(A2&lt;=(65-Inputs!$F$10+1))</f>
        <v/>
      </c>
      <c r="H2" s="2">
        <f>B2*D2*F2</f>
        <v/>
      </c>
      <c r="I2" s="2">
        <f>C2*E2*G2</f>
        <v/>
      </c>
    </row>
    <row r="3">
      <c r="A3" s="2" t="n">
        <v>2</v>
      </c>
      <c r="B3" s="2">
        <f>Inputs!$D$7-(Inputs!$D$7-Inputs!$D$8)*POWER((A3-1)/47,Inputs!$D$9)</f>
        <v/>
      </c>
      <c r="C3" s="2">
        <f>Inputs!$F$7-(Inputs!$F$7-Inputs!$F$8)*POWER((A3-1)/47,Inputs!$F$9)</f>
        <v/>
      </c>
      <c r="D3" s="2">
        <f>POWER(((1+Inputs!$D$5)/(1+Inputs!$D$6)),A3-1)</f>
        <v/>
      </c>
      <c r="E3" s="2">
        <f>POWER(((1+Inputs!$F$5)/(1+Inputs!$F$6)),A3-1)</f>
        <v/>
      </c>
      <c r="F3" s="2">
        <f>--(A3&lt;=(65-Inputs!$D$10+1))</f>
        <v/>
      </c>
      <c r="G3" s="2">
        <f>--(A3&lt;=(65-Inputs!$F$10+1))</f>
        <v/>
      </c>
      <c r="H3" s="2">
        <f>B3*D3*F3</f>
        <v/>
      </c>
      <c r="I3" s="2">
        <f>C3*E3*G3</f>
        <v/>
      </c>
    </row>
    <row r="4">
      <c r="A4" s="2" t="n">
        <v>3</v>
      </c>
      <c r="B4" s="2">
        <f>Inputs!$D$7-(Inputs!$D$7-Inputs!$D$8)*POWER((A4-1)/47,Inputs!$D$9)</f>
        <v/>
      </c>
      <c r="C4" s="2">
        <f>Inputs!$F$7-(Inputs!$F$7-Inputs!$F$8)*POWER((A4-1)/47,Inputs!$F$9)</f>
        <v/>
      </c>
      <c r="D4" s="2">
        <f>POWER(((1+Inputs!$D$5)/(1+Inputs!$D$6)),A4-1)</f>
        <v/>
      </c>
      <c r="E4" s="2">
        <f>POWER(((1+Inputs!$F$5)/(1+Inputs!$F$6)),A4-1)</f>
        <v/>
      </c>
      <c r="F4" s="2">
        <f>--(A4&lt;=(65-Inputs!$D$10+1))</f>
        <v/>
      </c>
      <c r="G4" s="2">
        <f>--(A4&lt;=(65-Inputs!$F$10+1))</f>
        <v/>
      </c>
      <c r="H4" s="2">
        <f>B4*D4*F4</f>
        <v/>
      </c>
      <c r="I4" s="2">
        <f>C4*E4*G4</f>
        <v/>
      </c>
    </row>
    <row r="5">
      <c r="A5" s="2" t="n">
        <v>4</v>
      </c>
      <c r="B5" s="2">
        <f>Inputs!$D$7-(Inputs!$D$7-Inputs!$D$8)*POWER((A5-1)/47,Inputs!$D$9)</f>
        <v/>
      </c>
      <c r="C5" s="2">
        <f>Inputs!$F$7-(Inputs!$F$7-Inputs!$F$8)*POWER((A5-1)/47,Inputs!$F$9)</f>
        <v/>
      </c>
      <c r="D5" s="2">
        <f>POWER(((1+Inputs!$D$5)/(1+Inputs!$D$6)),A5-1)</f>
        <v/>
      </c>
      <c r="E5" s="2">
        <f>POWER(((1+Inputs!$F$5)/(1+Inputs!$F$6)),A5-1)</f>
        <v/>
      </c>
      <c r="F5" s="2">
        <f>--(A5&lt;=(65-Inputs!$D$10+1))</f>
        <v/>
      </c>
      <c r="G5" s="2">
        <f>--(A5&lt;=(65-Inputs!$F$10+1))</f>
        <v/>
      </c>
      <c r="H5" s="2">
        <f>B5*D5*F5</f>
        <v/>
      </c>
      <c r="I5" s="2">
        <f>C5*E5*G5</f>
        <v/>
      </c>
    </row>
    <row r="6">
      <c r="A6" s="2" t="n">
        <v>5</v>
      </c>
      <c r="B6" s="2">
        <f>Inputs!$D$7-(Inputs!$D$7-Inputs!$D$8)*POWER((A6-1)/47,Inputs!$D$9)</f>
        <v/>
      </c>
      <c r="C6" s="2">
        <f>Inputs!$F$7-(Inputs!$F$7-Inputs!$F$8)*POWER((A6-1)/47,Inputs!$F$9)</f>
        <v/>
      </c>
      <c r="D6" s="2">
        <f>POWER(((1+Inputs!$D$5)/(1+Inputs!$D$6)),A6-1)</f>
        <v/>
      </c>
      <c r="E6" s="2">
        <f>POWER(((1+Inputs!$F$5)/(1+Inputs!$F$6)),A6-1)</f>
        <v/>
      </c>
      <c r="F6" s="2">
        <f>--(A6&lt;=(65-Inputs!$D$10+1))</f>
        <v/>
      </c>
      <c r="G6" s="2">
        <f>--(A6&lt;=(65-Inputs!$F$10+1))</f>
        <v/>
      </c>
      <c r="H6" s="2">
        <f>B6*D6*F6</f>
        <v/>
      </c>
      <c r="I6" s="2">
        <f>C6*E6*G6</f>
        <v/>
      </c>
    </row>
    <row r="7">
      <c r="A7" s="2" t="n">
        <v>6</v>
      </c>
      <c r="B7" s="2">
        <f>Inputs!$D$7-(Inputs!$D$7-Inputs!$D$8)*POWER((A7-1)/47,Inputs!$D$9)</f>
        <v/>
      </c>
      <c r="C7" s="2">
        <f>Inputs!$F$7-(Inputs!$F$7-Inputs!$F$8)*POWER((A7-1)/47,Inputs!$F$9)</f>
        <v/>
      </c>
      <c r="D7" s="2">
        <f>POWER(((1+Inputs!$D$5)/(1+Inputs!$D$6)),A7-1)</f>
        <v/>
      </c>
      <c r="E7" s="2">
        <f>POWER(((1+Inputs!$F$5)/(1+Inputs!$F$6)),A7-1)</f>
        <v/>
      </c>
      <c r="F7" s="2">
        <f>--(A7&lt;=(65-Inputs!$D$10+1))</f>
        <v/>
      </c>
      <c r="G7" s="2">
        <f>--(A7&lt;=(65-Inputs!$F$10+1))</f>
        <v/>
      </c>
      <c r="H7" s="2">
        <f>B7*D7*F7</f>
        <v/>
      </c>
      <c r="I7" s="2">
        <f>C7*E7*G7</f>
        <v/>
      </c>
    </row>
    <row r="8">
      <c r="A8" s="2" t="n">
        <v>7</v>
      </c>
      <c r="B8" s="2">
        <f>Inputs!$D$7-(Inputs!$D$7-Inputs!$D$8)*POWER((A8-1)/47,Inputs!$D$9)</f>
        <v/>
      </c>
      <c r="C8" s="2">
        <f>Inputs!$F$7-(Inputs!$F$7-Inputs!$F$8)*POWER((A8-1)/47,Inputs!$F$9)</f>
        <v/>
      </c>
      <c r="D8" s="2">
        <f>POWER(((1+Inputs!$D$5)/(1+Inputs!$D$6)),A8-1)</f>
        <v/>
      </c>
      <c r="E8" s="2">
        <f>POWER(((1+Inputs!$F$5)/(1+Inputs!$F$6)),A8-1)</f>
        <v/>
      </c>
      <c r="F8" s="2">
        <f>--(A8&lt;=(65-Inputs!$D$10+1))</f>
        <v/>
      </c>
      <c r="G8" s="2">
        <f>--(A8&lt;=(65-Inputs!$F$10+1))</f>
        <v/>
      </c>
      <c r="H8" s="2">
        <f>B8*D8*F8</f>
        <v/>
      </c>
      <c r="I8" s="2">
        <f>C8*E8*G8</f>
        <v/>
      </c>
    </row>
    <row r="9">
      <c r="A9" s="2" t="n">
        <v>8</v>
      </c>
      <c r="B9" s="2">
        <f>Inputs!$D$7-(Inputs!$D$7-Inputs!$D$8)*POWER((A9-1)/47,Inputs!$D$9)</f>
        <v/>
      </c>
      <c r="C9" s="2">
        <f>Inputs!$F$7-(Inputs!$F$7-Inputs!$F$8)*POWER((A9-1)/47,Inputs!$F$9)</f>
        <v/>
      </c>
      <c r="D9" s="2">
        <f>POWER(((1+Inputs!$D$5)/(1+Inputs!$D$6)),A9-1)</f>
        <v/>
      </c>
      <c r="E9" s="2">
        <f>POWER(((1+Inputs!$F$5)/(1+Inputs!$F$6)),A9-1)</f>
        <v/>
      </c>
      <c r="F9" s="2">
        <f>--(A9&lt;=(65-Inputs!$D$10+1))</f>
        <v/>
      </c>
      <c r="G9" s="2">
        <f>--(A9&lt;=(65-Inputs!$F$10+1))</f>
        <v/>
      </c>
      <c r="H9" s="2">
        <f>B9*D9*F9</f>
        <v/>
      </c>
      <c r="I9" s="2">
        <f>C9*E9*G9</f>
        <v/>
      </c>
    </row>
    <row r="10">
      <c r="A10" s="2" t="n">
        <v>9</v>
      </c>
      <c r="B10" s="2">
        <f>Inputs!$D$7-(Inputs!$D$7-Inputs!$D$8)*POWER((A10-1)/47,Inputs!$D$9)</f>
        <v/>
      </c>
      <c r="C10" s="2">
        <f>Inputs!$F$7-(Inputs!$F$7-Inputs!$F$8)*POWER((A10-1)/47,Inputs!$F$9)</f>
        <v/>
      </c>
      <c r="D10" s="2">
        <f>POWER(((1+Inputs!$D$5)/(1+Inputs!$D$6)),A10-1)</f>
        <v/>
      </c>
      <c r="E10" s="2">
        <f>POWER(((1+Inputs!$F$5)/(1+Inputs!$F$6)),A10-1)</f>
        <v/>
      </c>
      <c r="F10" s="2">
        <f>--(A10&lt;=(65-Inputs!$D$10+1))</f>
        <v/>
      </c>
      <c r="G10" s="2">
        <f>--(A10&lt;=(65-Inputs!$F$10+1))</f>
        <v/>
      </c>
      <c r="H10" s="2">
        <f>B10*D10*F10</f>
        <v/>
      </c>
      <c r="I10" s="2">
        <f>C10*E10*G10</f>
        <v/>
      </c>
    </row>
    <row r="11">
      <c r="A11" s="2" t="n">
        <v>10</v>
      </c>
      <c r="B11" s="2">
        <f>Inputs!$D$7-(Inputs!$D$7-Inputs!$D$8)*POWER((A11-1)/47,Inputs!$D$9)</f>
        <v/>
      </c>
      <c r="C11" s="2">
        <f>Inputs!$F$7-(Inputs!$F$7-Inputs!$F$8)*POWER((A11-1)/47,Inputs!$F$9)</f>
        <v/>
      </c>
      <c r="D11" s="2">
        <f>POWER(((1+Inputs!$D$5)/(1+Inputs!$D$6)),A11-1)</f>
        <v/>
      </c>
      <c r="E11" s="2">
        <f>POWER(((1+Inputs!$F$5)/(1+Inputs!$F$6)),A11-1)</f>
        <v/>
      </c>
      <c r="F11" s="2">
        <f>--(A11&lt;=(65-Inputs!$D$10+1))</f>
        <v/>
      </c>
      <c r="G11" s="2">
        <f>--(A11&lt;=(65-Inputs!$F$10+1))</f>
        <v/>
      </c>
      <c r="H11" s="2">
        <f>B11*D11*F11</f>
        <v/>
      </c>
      <c r="I11" s="2">
        <f>C11*E11*G11</f>
        <v/>
      </c>
    </row>
    <row r="12">
      <c r="A12" s="2" t="n">
        <v>11</v>
      </c>
      <c r="B12" s="2">
        <f>Inputs!$D$7-(Inputs!$D$7-Inputs!$D$8)*POWER((A12-1)/47,Inputs!$D$9)</f>
        <v/>
      </c>
      <c r="C12" s="2">
        <f>Inputs!$F$7-(Inputs!$F$7-Inputs!$F$8)*POWER((A12-1)/47,Inputs!$F$9)</f>
        <v/>
      </c>
      <c r="D12" s="2">
        <f>POWER(((1+Inputs!$D$5)/(1+Inputs!$D$6)),A12-1)</f>
        <v/>
      </c>
      <c r="E12" s="2">
        <f>POWER(((1+Inputs!$F$5)/(1+Inputs!$F$6)),A12-1)</f>
        <v/>
      </c>
      <c r="F12" s="2">
        <f>--(A12&lt;=(65-Inputs!$D$10+1))</f>
        <v/>
      </c>
      <c r="G12" s="2">
        <f>--(A12&lt;=(65-Inputs!$F$10+1))</f>
        <v/>
      </c>
      <c r="H12" s="2">
        <f>B12*D12*F12</f>
        <v/>
      </c>
      <c r="I12" s="2">
        <f>C12*E12*G12</f>
        <v/>
      </c>
    </row>
    <row r="13">
      <c r="A13" s="2" t="n">
        <v>12</v>
      </c>
      <c r="B13" s="2">
        <f>Inputs!$D$7-(Inputs!$D$7-Inputs!$D$8)*POWER((A13-1)/47,Inputs!$D$9)</f>
        <v/>
      </c>
      <c r="C13" s="2">
        <f>Inputs!$F$7-(Inputs!$F$7-Inputs!$F$8)*POWER((A13-1)/47,Inputs!$F$9)</f>
        <v/>
      </c>
      <c r="D13" s="2">
        <f>POWER(((1+Inputs!$D$5)/(1+Inputs!$D$6)),A13-1)</f>
        <v/>
      </c>
      <c r="E13" s="2">
        <f>POWER(((1+Inputs!$F$5)/(1+Inputs!$F$6)),A13-1)</f>
        <v/>
      </c>
      <c r="F13" s="2">
        <f>--(A13&lt;=(65-Inputs!$D$10+1))</f>
        <v/>
      </c>
      <c r="G13" s="2">
        <f>--(A13&lt;=(65-Inputs!$F$10+1))</f>
        <v/>
      </c>
      <c r="H13" s="2">
        <f>B13*D13*F13</f>
        <v/>
      </c>
      <c r="I13" s="2">
        <f>C13*E13*G13</f>
        <v/>
      </c>
    </row>
    <row r="14">
      <c r="A14" s="2" t="n">
        <v>13</v>
      </c>
      <c r="B14" s="2">
        <f>Inputs!$D$7-(Inputs!$D$7-Inputs!$D$8)*POWER((A14-1)/47,Inputs!$D$9)</f>
        <v/>
      </c>
      <c r="C14" s="2">
        <f>Inputs!$F$7-(Inputs!$F$7-Inputs!$F$8)*POWER((A14-1)/47,Inputs!$F$9)</f>
        <v/>
      </c>
      <c r="D14" s="2">
        <f>POWER(((1+Inputs!$D$5)/(1+Inputs!$D$6)),A14-1)</f>
        <v/>
      </c>
      <c r="E14" s="2">
        <f>POWER(((1+Inputs!$F$5)/(1+Inputs!$F$6)),A14-1)</f>
        <v/>
      </c>
      <c r="F14" s="2">
        <f>--(A14&lt;=(65-Inputs!$D$10+1))</f>
        <v/>
      </c>
      <c r="G14" s="2">
        <f>--(A14&lt;=(65-Inputs!$F$10+1))</f>
        <v/>
      </c>
      <c r="H14" s="2">
        <f>B14*D14*F14</f>
        <v/>
      </c>
      <c r="I14" s="2">
        <f>C14*E14*G14</f>
        <v/>
      </c>
    </row>
    <row r="15">
      <c r="A15" s="2" t="n">
        <v>14</v>
      </c>
      <c r="B15" s="2">
        <f>Inputs!$D$7-(Inputs!$D$7-Inputs!$D$8)*POWER((A15-1)/47,Inputs!$D$9)</f>
        <v/>
      </c>
      <c r="C15" s="2">
        <f>Inputs!$F$7-(Inputs!$F$7-Inputs!$F$8)*POWER((A15-1)/47,Inputs!$F$9)</f>
        <v/>
      </c>
      <c r="D15" s="2">
        <f>POWER(((1+Inputs!$D$5)/(1+Inputs!$D$6)),A15-1)</f>
        <v/>
      </c>
      <c r="E15" s="2">
        <f>POWER(((1+Inputs!$F$5)/(1+Inputs!$F$6)),A15-1)</f>
        <v/>
      </c>
      <c r="F15" s="2">
        <f>--(A15&lt;=(65-Inputs!$D$10+1))</f>
        <v/>
      </c>
      <c r="G15" s="2">
        <f>--(A15&lt;=(65-Inputs!$F$10+1))</f>
        <v/>
      </c>
      <c r="H15" s="2">
        <f>B15*D15*F15</f>
        <v/>
      </c>
      <c r="I15" s="2">
        <f>C15*E15*G15</f>
        <v/>
      </c>
    </row>
    <row r="16">
      <c r="A16" s="2" t="n">
        <v>15</v>
      </c>
      <c r="B16" s="2">
        <f>Inputs!$D$7-(Inputs!$D$7-Inputs!$D$8)*POWER((A16-1)/47,Inputs!$D$9)</f>
        <v/>
      </c>
      <c r="C16" s="2">
        <f>Inputs!$F$7-(Inputs!$F$7-Inputs!$F$8)*POWER((A16-1)/47,Inputs!$F$9)</f>
        <v/>
      </c>
      <c r="D16" s="2">
        <f>POWER(((1+Inputs!$D$5)/(1+Inputs!$D$6)),A16-1)</f>
        <v/>
      </c>
      <c r="E16" s="2">
        <f>POWER(((1+Inputs!$F$5)/(1+Inputs!$F$6)),A16-1)</f>
        <v/>
      </c>
      <c r="F16" s="2">
        <f>--(A16&lt;=(65-Inputs!$D$10+1))</f>
        <v/>
      </c>
      <c r="G16" s="2">
        <f>--(A16&lt;=(65-Inputs!$F$10+1))</f>
        <v/>
      </c>
      <c r="H16" s="2">
        <f>B16*D16*F16</f>
        <v/>
      </c>
      <c r="I16" s="2">
        <f>C16*E16*G16</f>
        <v/>
      </c>
    </row>
    <row r="17">
      <c r="A17" s="2" t="n">
        <v>16</v>
      </c>
      <c r="B17" s="2">
        <f>Inputs!$D$7-(Inputs!$D$7-Inputs!$D$8)*POWER((A17-1)/47,Inputs!$D$9)</f>
        <v/>
      </c>
      <c r="C17" s="2">
        <f>Inputs!$F$7-(Inputs!$F$7-Inputs!$F$8)*POWER((A17-1)/47,Inputs!$F$9)</f>
        <v/>
      </c>
      <c r="D17" s="2">
        <f>POWER(((1+Inputs!$D$5)/(1+Inputs!$D$6)),A17-1)</f>
        <v/>
      </c>
      <c r="E17" s="2">
        <f>POWER(((1+Inputs!$F$5)/(1+Inputs!$F$6)),A17-1)</f>
        <v/>
      </c>
      <c r="F17" s="2">
        <f>--(A17&lt;=(65-Inputs!$D$10+1))</f>
        <v/>
      </c>
      <c r="G17" s="2">
        <f>--(A17&lt;=(65-Inputs!$F$10+1))</f>
        <v/>
      </c>
      <c r="H17" s="2">
        <f>B17*D17*F17</f>
        <v/>
      </c>
      <c r="I17" s="2">
        <f>C17*E17*G17</f>
        <v/>
      </c>
    </row>
    <row r="18">
      <c r="A18" s="2" t="n">
        <v>17</v>
      </c>
      <c r="B18" s="2">
        <f>Inputs!$D$7-(Inputs!$D$7-Inputs!$D$8)*POWER((A18-1)/47,Inputs!$D$9)</f>
        <v/>
      </c>
      <c r="C18" s="2">
        <f>Inputs!$F$7-(Inputs!$F$7-Inputs!$F$8)*POWER((A18-1)/47,Inputs!$F$9)</f>
        <v/>
      </c>
      <c r="D18" s="2">
        <f>POWER(((1+Inputs!$D$5)/(1+Inputs!$D$6)),A18-1)</f>
        <v/>
      </c>
      <c r="E18" s="2">
        <f>POWER(((1+Inputs!$F$5)/(1+Inputs!$F$6)),A18-1)</f>
        <v/>
      </c>
      <c r="F18" s="2">
        <f>--(A18&lt;=(65-Inputs!$D$10+1))</f>
        <v/>
      </c>
      <c r="G18" s="2">
        <f>--(A18&lt;=(65-Inputs!$F$10+1))</f>
        <v/>
      </c>
      <c r="H18" s="2">
        <f>B18*D18*F18</f>
        <v/>
      </c>
      <c r="I18" s="2">
        <f>C18*E18*G18</f>
        <v/>
      </c>
    </row>
    <row r="19">
      <c r="A19" s="2" t="n">
        <v>18</v>
      </c>
      <c r="B19" s="2">
        <f>Inputs!$D$7-(Inputs!$D$7-Inputs!$D$8)*POWER((A19-1)/47,Inputs!$D$9)</f>
        <v/>
      </c>
      <c r="C19" s="2">
        <f>Inputs!$F$7-(Inputs!$F$7-Inputs!$F$8)*POWER((A19-1)/47,Inputs!$F$9)</f>
        <v/>
      </c>
      <c r="D19" s="2">
        <f>POWER(((1+Inputs!$D$5)/(1+Inputs!$D$6)),A19-1)</f>
        <v/>
      </c>
      <c r="E19" s="2">
        <f>POWER(((1+Inputs!$F$5)/(1+Inputs!$F$6)),A19-1)</f>
        <v/>
      </c>
      <c r="F19" s="2">
        <f>--(A19&lt;=(65-Inputs!$D$10+1))</f>
        <v/>
      </c>
      <c r="G19" s="2">
        <f>--(A19&lt;=(65-Inputs!$F$10+1))</f>
        <v/>
      </c>
      <c r="H19" s="2">
        <f>B19*D19*F19</f>
        <v/>
      </c>
      <c r="I19" s="2">
        <f>C19*E19*G19</f>
        <v/>
      </c>
    </row>
    <row r="20">
      <c r="A20" s="2" t="n">
        <v>19</v>
      </c>
      <c r="B20" s="2">
        <f>Inputs!$D$7-(Inputs!$D$7-Inputs!$D$8)*POWER((A20-1)/47,Inputs!$D$9)</f>
        <v/>
      </c>
      <c r="C20" s="2">
        <f>Inputs!$F$7-(Inputs!$F$7-Inputs!$F$8)*POWER((A20-1)/47,Inputs!$F$9)</f>
        <v/>
      </c>
      <c r="D20" s="2">
        <f>POWER(((1+Inputs!$D$5)/(1+Inputs!$D$6)),A20-1)</f>
        <v/>
      </c>
      <c r="E20" s="2">
        <f>POWER(((1+Inputs!$F$5)/(1+Inputs!$F$6)),A20-1)</f>
        <v/>
      </c>
      <c r="F20" s="2">
        <f>--(A20&lt;=(65-Inputs!$D$10+1))</f>
        <v/>
      </c>
      <c r="G20" s="2">
        <f>--(A20&lt;=(65-Inputs!$F$10+1))</f>
        <v/>
      </c>
      <c r="H20" s="2">
        <f>B20*D20*F20</f>
        <v/>
      </c>
      <c r="I20" s="2">
        <f>C20*E20*G20</f>
        <v/>
      </c>
    </row>
    <row r="21">
      <c r="A21" s="2" t="n">
        <v>20</v>
      </c>
      <c r="B21" s="2">
        <f>Inputs!$D$7-(Inputs!$D$7-Inputs!$D$8)*POWER((A21-1)/47,Inputs!$D$9)</f>
        <v/>
      </c>
      <c r="C21" s="2">
        <f>Inputs!$F$7-(Inputs!$F$7-Inputs!$F$8)*POWER((A21-1)/47,Inputs!$F$9)</f>
        <v/>
      </c>
      <c r="D21" s="2">
        <f>POWER(((1+Inputs!$D$5)/(1+Inputs!$D$6)),A21-1)</f>
        <v/>
      </c>
      <c r="E21" s="2">
        <f>POWER(((1+Inputs!$F$5)/(1+Inputs!$F$6)),A21-1)</f>
        <v/>
      </c>
      <c r="F21" s="2">
        <f>--(A21&lt;=(65-Inputs!$D$10+1))</f>
        <v/>
      </c>
      <c r="G21" s="2">
        <f>--(A21&lt;=(65-Inputs!$F$10+1))</f>
        <v/>
      </c>
      <c r="H21" s="2">
        <f>B21*D21*F21</f>
        <v/>
      </c>
      <c r="I21" s="2">
        <f>C21*E21*G21</f>
        <v/>
      </c>
    </row>
    <row r="22">
      <c r="A22" s="2" t="n">
        <v>21</v>
      </c>
      <c r="B22" s="2">
        <f>Inputs!$D$7-(Inputs!$D$7-Inputs!$D$8)*POWER((A22-1)/47,Inputs!$D$9)</f>
        <v/>
      </c>
      <c r="C22" s="2">
        <f>Inputs!$F$7-(Inputs!$F$7-Inputs!$F$8)*POWER((A22-1)/47,Inputs!$F$9)</f>
        <v/>
      </c>
      <c r="D22" s="2">
        <f>POWER(((1+Inputs!$D$5)/(1+Inputs!$D$6)),A22-1)</f>
        <v/>
      </c>
      <c r="E22" s="2">
        <f>POWER(((1+Inputs!$F$5)/(1+Inputs!$F$6)),A22-1)</f>
        <v/>
      </c>
      <c r="F22" s="2">
        <f>--(A22&lt;=(65-Inputs!$D$10+1))</f>
        <v/>
      </c>
      <c r="G22" s="2">
        <f>--(A22&lt;=(65-Inputs!$F$10+1))</f>
        <v/>
      </c>
      <c r="H22" s="2">
        <f>B22*D22*F22</f>
        <v/>
      </c>
      <c r="I22" s="2">
        <f>C22*E22*G22</f>
        <v/>
      </c>
    </row>
    <row r="23">
      <c r="A23" s="2" t="n">
        <v>22</v>
      </c>
      <c r="B23" s="2">
        <f>Inputs!$D$7-(Inputs!$D$7-Inputs!$D$8)*POWER((A23-1)/47,Inputs!$D$9)</f>
        <v/>
      </c>
      <c r="C23" s="2">
        <f>Inputs!$F$7-(Inputs!$F$7-Inputs!$F$8)*POWER((A23-1)/47,Inputs!$F$9)</f>
        <v/>
      </c>
      <c r="D23" s="2">
        <f>POWER(((1+Inputs!$D$5)/(1+Inputs!$D$6)),A23-1)</f>
        <v/>
      </c>
      <c r="E23" s="2">
        <f>POWER(((1+Inputs!$F$5)/(1+Inputs!$F$6)),A23-1)</f>
        <v/>
      </c>
      <c r="F23" s="2">
        <f>--(A23&lt;=(65-Inputs!$D$10+1))</f>
        <v/>
      </c>
      <c r="G23" s="2">
        <f>--(A23&lt;=(65-Inputs!$F$10+1))</f>
        <v/>
      </c>
      <c r="H23" s="2">
        <f>B23*D23*F23</f>
        <v/>
      </c>
      <c r="I23" s="2">
        <f>C23*E23*G23</f>
        <v/>
      </c>
    </row>
    <row r="24">
      <c r="A24" s="2" t="n">
        <v>23</v>
      </c>
      <c r="B24" s="2">
        <f>Inputs!$D$7-(Inputs!$D$7-Inputs!$D$8)*POWER((A24-1)/47,Inputs!$D$9)</f>
        <v/>
      </c>
      <c r="C24" s="2">
        <f>Inputs!$F$7-(Inputs!$F$7-Inputs!$F$8)*POWER((A24-1)/47,Inputs!$F$9)</f>
        <v/>
      </c>
      <c r="D24" s="2">
        <f>POWER(((1+Inputs!$D$5)/(1+Inputs!$D$6)),A24-1)</f>
        <v/>
      </c>
      <c r="E24" s="2">
        <f>POWER(((1+Inputs!$F$5)/(1+Inputs!$F$6)),A24-1)</f>
        <v/>
      </c>
      <c r="F24" s="2">
        <f>--(A24&lt;=(65-Inputs!$D$10+1))</f>
        <v/>
      </c>
      <c r="G24" s="2">
        <f>--(A24&lt;=(65-Inputs!$F$10+1))</f>
        <v/>
      </c>
      <c r="H24" s="2">
        <f>B24*D24*F24</f>
        <v/>
      </c>
      <c r="I24" s="2">
        <f>C24*E24*G24</f>
        <v/>
      </c>
    </row>
    <row r="25">
      <c r="A25" s="2" t="n">
        <v>24</v>
      </c>
      <c r="B25" s="2">
        <f>Inputs!$D$7-(Inputs!$D$7-Inputs!$D$8)*POWER((A25-1)/47,Inputs!$D$9)</f>
        <v/>
      </c>
      <c r="C25" s="2">
        <f>Inputs!$F$7-(Inputs!$F$7-Inputs!$F$8)*POWER((A25-1)/47,Inputs!$F$9)</f>
        <v/>
      </c>
      <c r="D25" s="2">
        <f>POWER(((1+Inputs!$D$5)/(1+Inputs!$D$6)),A25-1)</f>
        <v/>
      </c>
      <c r="E25" s="2">
        <f>POWER(((1+Inputs!$F$5)/(1+Inputs!$F$6)),A25-1)</f>
        <v/>
      </c>
      <c r="F25" s="2">
        <f>--(A25&lt;=(65-Inputs!$D$10+1))</f>
        <v/>
      </c>
      <c r="G25" s="2">
        <f>--(A25&lt;=(65-Inputs!$F$10+1))</f>
        <v/>
      </c>
      <c r="H25" s="2">
        <f>B25*D25*F25</f>
        <v/>
      </c>
      <c r="I25" s="2">
        <f>C25*E25*G25</f>
        <v/>
      </c>
    </row>
    <row r="26">
      <c r="A26" s="2" t="n">
        <v>25</v>
      </c>
      <c r="B26" s="2">
        <f>Inputs!$D$7-(Inputs!$D$7-Inputs!$D$8)*POWER((A26-1)/47,Inputs!$D$9)</f>
        <v/>
      </c>
      <c r="C26" s="2">
        <f>Inputs!$F$7-(Inputs!$F$7-Inputs!$F$8)*POWER((A26-1)/47,Inputs!$F$9)</f>
        <v/>
      </c>
      <c r="D26" s="2">
        <f>POWER(((1+Inputs!$D$5)/(1+Inputs!$D$6)),A26-1)</f>
        <v/>
      </c>
      <c r="E26" s="2">
        <f>POWER(((1+Inputs!$F$5)/(1+Inputs!$F$6)),A26-1)</f>
        <v/>
      </c>
      <c r="F26" s="2">
        <f>--(A26&lt;=(65-Inputs!$D$10+1))</f>
        <v/>
      </c>
      <c r="G26" s="2">
        <f>--(A26&lt;=(65-Inputs!$F$10+1))</f>
        <v/>
      </c>
      <c r="H26" s="2">
        <f>B26*D26*F26</f>
        <v/>
      </c>
      <c r="I26" s="2">
        <f>C26*E26*G26</f>
        <v/>
      </c>
    </row>
    <row r="27">
      <c r="A27" s="2" t="n">
        <v>26</v>
      </c>
      <c r="B27" s="2">
        <f>Inputs!$D$7-(Inputs!$D$7-Inputs!$D$8)*POWER((A27-1)/47,Inputs!$D$9)</f>
        <v/>
      </c>
      <c r="C27" s="2">
        <f>Inputs!$F$7-(Inputs!$F$7-Inputs!$F$8)*POWER((A27-1)/47,Inputs!$F$9)</f>
        <v/>
      </c>
      <c r="D27" s="2">
        <f>POWER(((1+Inputs!$D$5)/(1+Inputs!$D$6)),A27-1)</f>
        <v/>
      </c>
      <c r="E27" s="2">
        <f>POWER(((1+Inputs!$F$5)/(1+Inputs!$F$6)),A27-1)</f>
        <v/>
      </c>
      <c r="F27" s="2">
        <f>--(A27&lt;=(65-Inputs!$D$10+1))</f>
        <v/>
      </c>
      <c r="G27" s="2">
        <f>--(A27&lt;=(65-Inputs!$F$10+1))</f>
        <v/>
      </c>
      <c r="H27" s="2">
        <f>B27*D27*F27</f>
        <v/>
      </c>
      <c r="I27" s="2">
        <f>C27*E27*G27</f>
        <v/>
      </c>
    </row>
    <row r="28">
      <c r="A28" s="2" t="n">
        <v>27</v>
      </c>
      <c r="B28" s="2">
        <f>Inputs!$D$7-(Inputs!$D$7-Inputs!$D$8)*POWER((A28-1)/47,Inputs!$D$9)</f>
        <v/>
      </c>
      <c r="C28" s="2">
        <f>Inputs!$F$7-(Inputs!$F$7-Inputs!$F$8)*POWER((A28-1)/47,Inputs!$F$9)</f>
        <v/>
      </c>
      <c r="D28" s="2">
        <f>POWER(((1+Inputs!$D$5)/(1+Inputs!$D$6)),A28-1)</f>
        <v/>
      </c>
      <c r="E28" s="2">
        <f>POWER(((1+Inputs!$F$5)/(1+Inputs!$F$6)),A28-1)</f>
        <v/>
      </c>
      <c r="F28" s="2">
        <f>--(A28&lt;=(65-Inputs!$D$10+1))</f>
        <v/>
      </c>
      <c r="G28" s="2">
        <f>--(A28&lt;=(65-Inputs!$F$10+1))</f>
        <v/>
      </c>
      <c r="H28" s="2">
        <f>B28*D28*F28</f>
        <v/>
      </c>
      <c r="I28" s="2">
        <f>C28*E28*G28</f>
        <v/>
      </c>
    </row>
    <row r="29">
      <c r="A29" s="2" t="n">
        <v>28</v>
      </c>
      <c r="B29" s="2">
        <f>Inputs!$D$7-(Inputs!$D$7-Inputs!$D$8)*POWER((A29-1)/47,Inputs!$D$9)</f>
        <v/>
      </c>
      <c r="C29" s="2">
        <f>Inputs!$F$7-(Inputs!$F$7-Inputs!$F$8)*POWER((A29-1)/47,Inputs!$F$9)</f>
        <v/>
      </c>
      <c r="D29" s="2">
        <f>POWER(((1+Inputs!$D$5)/(1+Inputs!$D$6)),A29-1)</f>
        <v/>
      </c>
      <c r="E29" s="2">
        <f>POWER(((1+Inputs!$F$5)/(1+Inputs!$F$6)),A29-1)</f>
        <v/>
      </c>
      <c r="F29" s="2">
        <f>--(A29&lt;=(65-Inputs!$D$10+1))</f>
        <v/>
      </c>
      <c r="G29" s="2">
        <f>--(A29&lt;=(65-Inputs!$F$10+1))</f>
        <v/>
      </c>
      <c r="H29" s="2">
        <f>B29*D29*F29</f>
        <v/>
      </c>
      <c r="I29" s="2">
        <f>C29*E29*G29</f>
        <v/>
      </c>
    </row>
    <row r="30">
      <c r="A30" s="2" t="n">
        <v>29</v>
      </c>
      <c r="B30" s="2">
        <f>Inputs!$D$7-(Inputs!$D$7-Inputs!$D$8)*POWER((A30-1)/47,Inputs!$D$9)</f>
        <v/>
      </c>
      <c r="C30" s="2">
        <f>Inputs!$F$7-(Inputs!$F$7-Inputs!$F$8)*POWER((A30-1)/47,Inputs!$F$9)</f>
        <v/>
      </c>
      <c r="D30" s="2">
        <f>POWER(((1+Inputs!$D$5)/(1+Inputs!$D$6)),A30-1)</f>
        <v/>
      </c>
      <c r="E30" s="2">
        <f>POWER(((1+Inputs!$F$5)/(1+Inputs!$F$6)),A30-1)</f>
        <v/>
      </c>
      <c r="F30" s="2">
        <f>--(A30&lt;=(65-Inputs!$D$10+1))</f>
        <v/>
      </c>
      <c r="G30" s="2">
        <f>--(A30&lt;=(65-Inputs!$F$10+1))</f>
        <v/>
      </c>
      <c r="H30" s="2">
        <f>B30*D30*F30</f>
        <v/>
      </c>
      <c r="I30" s="2">
        <f>C30*E30*G30</f>
        <v/>
      </c>
    </row>
    <row r="31">
      <c r="A31" s="2" t="n">
        <v>30</v>
      </c>
      <c r="B31" s="2">
        <f>Inputs!$D$7-(Inputs!$D$7-Inputs!$D$8)*POWER((A31-1)/47,Inputs!$D$9)</f>
        <v/>
      </c>
      <c r="C31" s="2">
        <f>Inputs!$F$7-(Inputs!$F$7-Inputs!$F$8)*POWER((A31-1)/47,Inputs!$F$9)</f>
        <v/>
      </c>
      <c r="D31" s="2">
        <f>POWER(((1+Inputs!$D$5)/(1+Inputs!$D$6)),A31-1)</f>
        <v/>
      </c>
      <c r="E31" s="2">
        <f>POWER(((1+Inputs!$F$5)/(1+Inputs!$F$6)),A31-1)</f>
        <v/>
      </c>
      <c r="F31" s="2">
        <f>--(A31&lt;=(65-Inputs!$D$10+1))</f>
        <v/>
      </c>
      <c r="G31" s="2">
        <f>--(A31&lt;=(65-Inputs!$F$10+1))</f>
        <v/>
      </c>
      <c r="H31" s="2">
        <f>B31*D31*F31</f>
        <v/>
      </c>
      <c r="I31" s="2">
        <f>C31*E31*G31</f>
        <v/>
      </c>
    </row>
    <row r="32">
      <c r="A32" s="2" t="n">
        <v>31</v>
      </c>
      <c r="B32" s="2">
        <f>Inputs!$D$7-(Inputs!$D$7-Inputs!$D$8)*POWER((A32-1)/47,Inputs!$D$9)</f>
        <v/>
      </c>
      <c r="C32" s="2">
        <f>Inputs!$F$7-(Inputs!$F$7-Inputs!$F$8)*POWER((A32-1)/47,Inputs!$F$9)</f>
        <v/>
      </c>
      <c r="D32" s="2">
        <f>POWER(((1+Inputs!$D$5)/(1+Inputs!$D$6)),A32-1)</f>
        <v/>
      </c>
      <c r="E32" s="2">
        <f>POWER(((1+Inputs!$F$5)/(1+Inputs!$F$6)),A32-1)</f>
        <v/>
      </c>
      <c r="F32" s="2">
        <f>--(A32&lt;=(65-Inputs!$D$10+1))</f>
        <v/>
      </c>
      <c r="G32" s="2">
        <f>--(A32&lt;=(65-Inputs!$F$10+1))</f>
        <v/>
      </c>
      <c r="H32" s="2">
        <f>B32*D32*F32</f>
        <v/>
      </c>
      <c r="I32" s="2">
        <f>C32*E32*G32</f>
        <v/>
      </c>
    </row>
    <row r="33">
      <c r="A33" s="2" t="n">
        <v>32</v>
      </c>
      <c r="B33" s="2">
        <f>Inputs!$D$7-(Inputs!$D$7-Inputs!$D$8)*POWER((A33-1)/47,Inputs!$D$9)</f>
        <v/>
      </c>
      <c r="C33" s="2">
        <f>Inputs!$F$7-(Inputs!$F$7-Inputs!$F$8)*POWER((A33-1)/47,Inputs!$F$9)</f>
        <v/>
      </c>
      <c r="D33" s="2">
        <f>POWER(((1+Inputs!$D$5)/(1+Inputs!$D$6)),A33-1)</f>
        <v/>
      </c>
      <c r="E33" s="2">
        <f>POWER(((1+Inputs!$F$5)/(1+Inputs!$F$6)),A33-1)</f>
        <v/>
      </c>
      <c r="F33" s="2">
        <f>--(A33&lt;=(65-Inputs!$D$10+1))</f>
        <v/>
      </c>
      <c r="G33" s="2">
        <f>--(A33&lt;=(65-Inputs!$F$10+1))</f>
        <v/>
      </c>
      <c r="H33" s="2">
        <f>B33*D33*F33</f>
        <v/>
      </c>
      <c r="I33" s="2">
        <f>C33*E33*G33</f>
        <v/>
      </c>
    </row>
    <row r="34">
      <c r="A34" s="2" t="n">
        <v>33</v>
      </c>
      <c r="B34" s="2">
        <f>Inputs!$D$7-(Inputs!$D$7-Inputs!$D$8)*POWER((A34-1)/47,Inputs!$D$9)</f>
        <v/>
      </c>
      <c r="C34" s="2">
        <f>Inputs!$F$7-(Inputs!$F$7-Inputs!$F$8)*POWER((A34-1)/47,Inputs!$F$9)</f>
        <v/>
      </c>
      <c r="D34" s="2">
        <f>POWER(((1+Inputs!$D$5)/(1+Inputs!$D$6)),A34-1)</f>
        <v/>
      </c>
      <c r="E34" s="2">
        <f>POWER(((1+Inputs!$F$5)/(1+Inputs!$F$6)),A34-1)</f>
        <v/>
      </c>
      <c r="F34" s="2">
        <f>--(A34&lt;=(65-Inputs!$D$10+1))</f>
        <v/>
      </c>
      <c r="G34" s="2">
        <f>--(A34&lt;=(65-Inputs!$F$10+1))</f>
        <v/>
      </c>
      <c r="H34" s="2">
        <f>B34*D34*F34</f>
        <v/>
      </c>
      <c r="I34" s="2">
        <f>C34*E34*G34</f>
        <v/>
      </c>
    </row>
    <row r="35">
      <c r="A35" s="2" t="n">
        <v>34</v>
      </c>
      <c r="B35" s="2">
        <f>Inputs!$D$7-(Inputs!$D$7-Inputs!$D$8)*POWER((A35-1)/47,Inputs!$D$9)</f>
        <v/>
      </c>
      <c r="C35" s="2">
        <f>Inputs!$F$7-(Inputs!$F$7-Inputs!$F$8)*POWER((A35-1)/47,Inputs!$F$9)</f>
        <v/>
      </c>
      <c r="D35" s="2">
        <f>POWER(((1+Inputs!$D$5)/(1+Inputs!$D$6)),A35-1)</f>
        <v/>
      </c>
      <c r="E35" s="2">
        <f>POWER(((1+Inputs!$F$5)/(1+Inputs!$F$6)),A35-1)</f>
        <v/>
      </c>
      <c r="F35" s="2">
        <f>--(A35&lt;=(65-Inputs!$D$10+1))</f>
        <v/>
      </c>
      <c r="G35" s="2">
        <f>--(A35&lt;=(65-Inputs!$F$10+1))</f>
        <v/>
      </c>
      <c r="H35" s="2">
        <f>B35*D35*F35</f>
        <v/>
      </c>
      <c r="I35" s="2">
        <f>C35*E35*G35</f>
        <v/>
      </c>
    </row>
    <row r="36">
      <c r="A36" s="2" t="n">
        <v>35</v>
      </c>
      <c r="B36" s="2">
        <f>Inputs!$D$7-(Inputs!$D$7-Inputs!$D$8)*POWER((A36-1)/47,Inputs!$D$9)</f>
        <v/>
      </c>
      <c r="C36" s="2">
        <f>Inputs!$F$7-(Inputs!$F$7-Inputs!$F$8)*POWER((A36-1)/47,Inputs!$F$9)</f>
        <v/>
      </c>
      <c r="D36" s="2">
        <f>POWER(((1+Inputs!$D$5)/(1+Inputs!$D$6)),A36-1)</f>
        <v/>
      </c>
      <c r="E36" s="2">
        <f>POWER(((1+Inputs!$F$5)/(1+Inputs!$F$6)),A36-1)</f>
        <v/>
      </c>
      <c r="F36" s="2">
        <f>--(A36&lt;=(65-Inputs!$D$10+1))</f>
        <v/>
      </c>
      <c r="G36" s="2">
        <f>--(A36&lt;=(65-Inputs!$F$10+1))</f>
        <v/>
      </c>
      <c r="H36" s="2">
        <f>B36*D36*F36</f>
        <v/>
      </c>
      <c r="I36" s="2">
        <f>C36*E36*G36</f>
        <v/>
      </c>
    </row>
    <row r="37">
      <c r="A37" s="2" t="n">
        <v>36</v>
      </c>
      <c r="B37" s="2">
        <f>Inputs!$D$7-(Inputs!$D$7-Inputs!$D$8)*POWER((A37-1)/47,Inputs!$D$9)</f>
        <v/>
      </c>
      <c r="C37" s="2">
        <f>Inputs!$F$7-(Inputs!$F$7-Inputs!$F$8)*POWER((A37-1)/47,Inputs!$F$9)</f>
        <v/>
      </c>
      <c r="D37" s="2">
        <f>POWER(((1+Inputs!$D$5)/(1+Inputs!$D$6)),A37-1)</f>
        <v/>
      </c>
      <c r="E37" s="2">
        <f>POWER(((1+Inputs!$F$5)/(1+Inputs!$F$6)),A37-1)</f>
        <v/>
      </c>
      <c r="F37" s="2">
        <f>--(A37&lt;=(65-Inputs!$D$10+1))</f>
        <v/>
      </c>
      <c r="G37" s="2">
        <f>--(A37&lt;=(65-Inputs!$F$10+1))</f>
        <v/>
      </c>
      <c r="H37" s="2">
        <f>B37*D37*F37</f>
        <v/>
      </c>
      <c r="I37" s="2">
        <f>C37*E37*G37</f>
        <v/>
      </c>
    </row>
    <row r="38">
      <c r="A38" s="2" t="n">
        <v>37</v>
      </c>
      <c r="B38" s="2">
        <f>Inputs!$D$7-(Inputs!$D$7-Inputs!$D$8)*POWER((A38-1)/47,Inputs!$D$9)</f>
        <v/>
      </c>
      <c r="C38" s="2">
        <f>Inputs!$F$7-(Inputs!$F$7-Inputs!$F$8)*POWER((A38-1)/47,Inputs!$F$9)</f>
        <v/>
      </c>
      <c r="D38" s="2">
        <f>POWER(((1+Inputs!$D$5)/(1+Inputs!$D$6)),A38-1)</f>
        <v/>
      </c>
      <c r="E38" s="2">
        <f>POWER(((1+Inputs!$F$5)/(1+Inputs!$F$6)),A38-1)</f>
        <v/>
      </c>
      <c r="F38" s="2">
        <f>--(A38&lt;=(65-Inputs!$D$10+1))</f>
        <v/>
      </c>
      <c r="G38" s="2">
        <f>--(A38&lt;=(65-Inputs!$F$10+1))</f>
        <v/>
      </c>
      <c r="H38" s="2">
        <f>B38*D38*F38</f>
        <v/>
      </c>
      <c r="I38" s="2">
        <f>C38*E38*G38</f>
        <v/>
      </c>
    </row>
    <row r="39">
      <c r="A39" s="2" t="n">
        <v>38</v>
      </c>
      <c r="B39" s="2">
        <f>Inputs!$D$7-(Inputs!$D$7-Inputs!$D$8)*POWER((A39-1)/47,Inputs!$D$9)</f>
        <v/>
      </c>
      <c r="C39" s="2">
        <f>Inputs!$F$7-(Inputs!$F$7-Inputs!$F$8)*POWER((A39-1)/47,Inputs!$F$9)</f>
        <v/>
      </c>
      <c r="D39" s="2">
        <f>POWER(((1+Inputs!$D$5)/(1+Inputs!$D$6)),A39-1)</f>
        <v/>
      </c>
      <c r="E39" s="2">
        <f>POWER(((1+Inputs!$F$5)/(1+Inputs!$F$6)),A39-1)</f>
        <v/>
      </c>
      <c r="F39" s="2">
        <f>--(A39&lt;=(65-Inputs!$D$10+1))</f>
        <v/>
      </c>
      <c r="G39" s="2">
        <f>--(A39&lt;=(65-Inputs!$F$10+1))</f>
        <v/>
      </c>
      <c r="H39" s="2">
        <f>B39*D39*F39</f>
        <v/>
      </c>
      <c r="I39" s="2">
        <f>C39*E39*G39</f>
        <v/>
      </c>
    </row>
    <row r="40">
      <c r="A40" s="2" t="n">
        <v>39</v>
      </c>
      <c r="B40" s="2">
        <f>Inputs!$D$7-(Inputs!$D$7-Inputs!$D$8)*POWER((A40-1)/47,Inputs!$D$9)</f>
        <v/>
      </c>
      <c r="C40" s="2">
        <f>Inputs!$F$7-(Inputs!$F$7-Inputs!$F$8)*POWER((A40-1)/47,Inputs!$F$9)</f>
        <v/>
      </c>
      <c r="D40" s="2">
        <f>POWER(((1+Inputs!$D$5)/(1+Inputs!$D$6)),A40-1)</f>
        <v/>
      </c>
      <c r="E40" s="2">
        <f>POWER(((1+Inputs!$F$5)/(1+Inputs!$F$6)),A40-1)</f>
        <v/>
      </c>
      <c r="F40" s="2">
        <f>--(A40&lt;=(65-Inputs!$D$10+1))</f>
        <v/>
      </c>
      <c r="G40" s="2">
        <f>--(A40&lt;=(65-Inputs!$F$10+1))</f>
        <v/>
      </c>
      <c r="H40" s="2">
        <f>B40*D40*F40</f>
        <v/>
      </c>
      <c r="I40" s="2">
        <f>C40*E40*G40</f>
        <v/>
      </c>
    </row>
    <row r="41">
      <c r="A41" s="2" t="n">
        <v>40</v>
      </c>
      <c r="B41" s="2">
        <f>Inputs!$D$7-(Inputs!$D$7-Inputs!$D$8)*POWER((A41-1)/47,Inputs!$D$9)</f>
        <v/>
      </c>
      <c r="C41" s="2">
        <f>Inputs!$F$7-(Inputs!$F$7-Inputs!$F$8)*POWER((A41-1)/47,Inputs!$F$9)</f>
        <v/>
      </c>
      <c r="D41" s="2">
        <f>POWER(((1+Inputs!$D$5)/(1+Inputs!$D$6)),A41-1)</f>
        <v/>
      </c>
      <c r="E41" s="2">
        <f>POWER(((1+Inputs!$F$5)/(1+Inputs!$F$6)),A41-1)</f>
        <v/>
      </c>
      <c r="F41" s="2">
        <f>--(A41&lt;=(65-Inputs!$D$10+1))</f>
        <v/>
      </c>
      <c r="G41" s="2">
        <f>--(A41&lt;=(65-Inputs!$F$10+1))</f>
        <v/>
      </c>
      <c r="H41" s="2">
        <f>B41*D41*F41</f>
        <v/>
      </c>
      <c r="I41" s="2">
        <f>C41*E41*G41</f>
        <v/>
      </c>
    </row>
    <row r="42">
      <c r="A42" s="2" t="n">
        <v>41</v>
      </c>
      <c r="B42" s="2">
        <f>Inputs!$D$7-(Inputs!$D$7-Inputs!$D$8)*POWER((A42-1)/47,Inputs!$D$9)</f>
        <v/>
      </c>
      <c r="C42" s="2">
        <f>Inputs!$F$7-(Inputs!$F$7-Inputs!$F$8)*POWER((A42-1)/47,Inputs!$F$9)</f>
        <v/>
      </c>
      <c r="D42" s="2">
        <f>POWER(((1+Inputs!$D$5)/(1+Inputs!$D$6)),A42-1)</f>
        <v/>
      </c>
      <c r="E42" s="2">
        <f>POWER(((1+Inputs!$F$5)/(1+Inputs!$F$6)),A42-1)</f>
        <v/>
      </c>
      <c r="F42" s="2">
        <f>--(A42&lt;=(65-Inputs!$D$10+1))</f>
        <v/>
      </c>
      <c r="G42" s="2">
        <f>--(A42&lt;=(65-Inputs!$F$10+1))</f>
        <v/>
      </c>
      <c r="H42" s="2">
        <f>B42*D42*F42</f>
        <v/>
      </c>
      <c r="I42" s="2">
        <f>C42*E42*G42</f>
        <v/>
      </c>
    </row>
    <row r="43">
      <c r="A43" s="2" t="n">
        <v>42</v>
      </c>
      <c r="B43" s="2">
        <f>Inputs!$D$7-(Inputs!$D$7-Inputs!$D$8)*POWER((A43-1)/47,Inputs!$D$9)</f>
        <v/>
      </c>
      <c r="C43" s="2">
        <f>Inputs!$F$7-(Inputs!$F$7-Inputs!$F$8)*POWER((A43-1)/47,Inputs!$F$9)</f>
        <v/>
      </c>
      <c r="D43" s="2">
        <f>POWER(((1+Inputs!$D$5)/(1+Inputs!$D$6)),A43-1)</f>
        <v/>
      </c>
      <c r="E43" s="2">
        <f>POWER(((1+Inputs!$F$5)/(1+Inputs!$F$6)),A43-1)</f>
        <v/>
      </c>
      <c r="F43" s="2">
        <f>--(A43&lt;=(65-Inputs!$D$10+1))</f>
        <v/>
      </c>
      <c r="G43" s="2">
        <f>--(A43&lt;=(65-Inputs!$F$10+1))</f>
        <v/>
      </c>
      <c r="H43" s="2">
        <f>B43*D43*F43</f>
        <v/>
      </c>
      <c r="I43" s="2">
        <f>C43*E43*G43</f>
        <v/>
      </c>
    </row>
    <row r="44">
      <c r="A44" s="2" t="n">
        <v>43</v>
      </c>
      <c r="B44" s="2">
        <f>Inputs!$D$7-(Inputs!$D$7-Inputs!$D$8)*POWER((A44-1)/47,Inputs!$D$9)</f>
        <v/>
      </c>
      <c r="C44" s="2">
        <f>Inputs!$F$7-(Inputs!$F$7-Inputs!$F$8)*POWER((A44-1)/47,Inputs!$F$9)</f>
        <v/>
      </c>
      <c r="D44" s="2">
        <f>POWER(((1+Inputs!$D$5)/(1+Inputs!$D$6)),A44-1)</f>
        <v/>
      </c>
      <c r="E44" s="2">
        <f>POWER(((1+Inputs!$F$5)/(1+Inputs!$F$6)),A44-1)</f>
        <v/>
      </c>
      <c r="F44" s="2">
        <f>--(A44&lt;=(65-Inputs!$D$10+1))</f>
        <v/>
      </c>
      <c r="G44" s="2">
        <f>--(A44&lt;=(65-Inputs!$F$10+1))</f>
        <v/>
      </c>
      <c r="H44" s="2">
        <f>B44*D44*F44</f>
        <v/>
      </c>
      <c r="I44" s="2">
        <f>C44*E44*G44</f>
        <v/>
      </c>
    </row>
    <row r="45">
      <c r="A45" s="2" t="n">
        <v>44</v>
      </c>
      <c r="B45" s="2">
        <f>Inputs!$D$7-(Inputs!$D$7-Inputs!$D$8)*POWER((A45-1)/47,Inputs!$D$9)</f>
        <v/>
      </c>
      <c r="C45" s="2">
        <f>Inputs!$F$7-(Inputs!$F$7-Inputs!$F$8)*POWER((A45-1)/47,Inputs!$F$9)</f>
        <v/>
      </c>
      <c r="D45" s="2">
        <f>POWER(((1+Inputs!$D$5)/(1+Inputs!$D$6)),A45-1)</f>
        <v/>
      </c>
      <c r="E45" s="2">
        <f>POWER(((1+Inputs!$F$5)/(1+Inputs!$F$6)),A45-1)</f>
        <v/>
      </c>
      <c r="F45" s="2">
        <f>--(A45&lt;=(65-Inputs!$D$10+1))</f>
        <v/>
      </c>
      <c r="G45" s="2">
        <f>--(A45&lt;=(65-Inputs!$F$10+1))</f>
        <v/>
      </c>
      <c r="H45" s="2">
        <f>B45*D45*F45</f>
        <v/>
      </c>
      <c r="I45" s="2">
        <f>C45*E45*G45</f>
        <v/>
      </c>
    </row>
    <row r="46">
      <c r="A46" s="2" t="n">
        <v>45</v>
      </c>
      <c r="B46" s="2">
        <f>Inputs!$D$7-(Inputs!$D$7-Inputs!$D$8)*POWER((A46-1)/47,Inputs!$D$9)</f>
        <v/>
      </c>
      <c r="C46" s="2">
        <f>Inputs!$F$7-(Inputs!$F$7-Inputs!$F$8)*POWER((A46-1)/47,Inputs!$F$9)</f>
        <v/>
      </c>
      <c r="D46" s="2">
        <f>POWER(((1+Inputs!$D$5)/(1+Inputs!$D$6)),A46-1)</f>
        <v/>
      </c>
      <c r="E46" s="2">
        <f>POWER(((1+Inputs!$F$5)/(1+Inputs!$F$6)),A46-1)</f>
        <v/>
      </c>
      <c r="F46" s="2">
        <f>--(A46&lt;=(65-Inputs!$D$10+1))</f>
        <v/>
      </c>
      <c r="G46" s="2">
        <f>--(A46&lt;=(65-Inputs!$F$10+1))</f>
        <v/>
      </c>
      <c r="H46" s="2">
        <f>B46*D46*F46</f>
        <v/>
      </c>
      <c r="I46" s="2">
        <f>C46*E46*G46</f>
        <v/>
      </c>
    </row>
    <row r="47">
      <c r="A47" s="2" t="n">
        <v>46</v>
      </c>
      <c r="B47" s="2">
        <f>Inputs!$D$7-(Inputs!$D$7-Inputs!$D$8)*POWER((A47-1)/47,Inputs!$D$9)</f>
        <v/>
      </c>
      <c r="C47" s="2">
        <f>Inputs!$F$7-(Inputs!$F$7-Inputs!$F$8)*POWER((A47-1)/47,Inputs!$F$9)</f>
        <v/>
      </c>
      <c r="D47" s="2">
        <f>POWER(((1+Inputs!$D$5)/(1+Inputs!$D$6)),A47-1)</f>
        <v/>
      </c>
      <c r="E47" s="2">
        <f>POWER(((1+Inputs!$F$5)/(1+Inputs!$F$6)),A47-1)</f>
        <v/>
      </c>
      <c r="F47" s="2">
        <f>--(A47&lt;=(65-Inputs!$D$10+1))</f>
        <v/>
      </c>
      <c r="G47" s="2">
        <f>--(A47&lt;=(65-Inputs!$F$10+1))</f>
        <v/>
      </c>
      <c r="H47" s="2">
        <f>B47*D47*F47</f>
        <v/>
      </c>
      <c r="I47" s="2">
        <f>C47*E47*G47</f>
        <v/>
      </c>
    </row>
    <row r="48">
      <c r="A48" s="2" t="n">
        <v>47</v>
      </c>
      <c r="B48" s="2">
        <f>Inputs!$D$7-(Inputs!$D$7-Inputs!$D$8)*POWER((A48-1)/47,Inputs!$D$9)</f>
        <v/>
      </c>
      <c r="C48" s="2">
        <f>Inputs!$F$7-(Inputs!$F$7-Inputs!$F$8)*POWER((A48-1)/47,Inputs!$F$9)</f>
        <v/>
      </c>
      <c r="D48" s="2">
        <f>POWER(((1+Inputs!$D$5)/(1+Inputs!$D$6)),A48-1)</f>
        <v/>
      </c>
      <c r="E48" s="2">
        <f>POWER(((1+Inputs!$F$5)/(1+Inputs!$F$6)),A48-1)</f>
        <v/>
      </c>
      <c r="F48" s="2">
        <f>--(A48&lt;=(65-Inputs!$D$10+1))</f>
        <v/>
      </c>
      <c r="G48" s="2">
        <f>--(A48&lt;=(65-Inputs!$F$10+1))</f>
        <v/>
      </c>
      <c r="H48" s="2">
        <f>B48*D48*F48</f>
        <v/>
      </c>
      <c r="I48" s="2">
        <f>C48*E48*G48</f>
        <v/>
      </c>
    </row>
    <row r="49">
      <c r="A49" s="2" t="n">
        <v>48</v>
      </c>
      <c r="B49" s="2">
        <f>Inputs!$D$7-(Inputs!$D$7-Inputs!$D$8)*POWER((A49-1)/47,Inputs!$D$9)</f>
        <v/>
      </c>
      <c r="C49" s="2">
        <f>Inputs!$F$7-(Inputs!$F$7-Inputs!$F$8)*POWER((A49-1)/47,Inputs!$F$9)</f>
        <v/>
      </c>
      <c r="D49" s="2">
        <f>POWER(((1+Inputs!$D$5)/(1+Inputs!$D$6)),A49-1)</f>
        <v/>
      </c>
      <c r="E49" s="2">
        <f>POWER(((1+Inputs!$F$5)/(1+Inputs!$F$6)),A49-1)</f>
        <v/>
      </c>
      <c r="F49" s="2">
        <f>--(A49&lt;=(65-Inputs!$D$10+1))</f>
        <v/>
      </c>
      <c r="G49" s="2">
        <f>--(A49&lt;=(65-Inputs!$F$10+1))</f>
        <v/>
      </c>
      <c r="H49" s="2">
        <f>B49*D49*F49</f>
        <v/>
      </c>
      <c r="I49" s="2">
        <f>C49*E49*G49</f>
        <v/>
      </c>
    </row>
    <row r="50">
      <c r="A50" s="2" t="n">
        <v>49</v>
      </c>
      <c r="B50" s="2">
        <f>Inputs!$D$7-(Inputs!$D$7-Inputs!$D$8)*POWER((A50-1)/47,Inputs!$D$9)</f>
        <v/>
      </c>
      <c r="C50" s="2">
        <f>Inputs!$F$7-(Inputs!$F$7-Inputs!$F$8)*POWER((A50-1)/47,Inputs!$F$9)</f>
        <v/>
      </c>
      <c r="D50" s="2">
        <f>POWER(((1+Inputs!$D$5)/(1+Inputs!$D$6)),A50-1)</f>
        <v/>
      </c>
      <c r="E50" s="2">
        <f>POWER(((1+Inputs!$F$5)/(1+Inputs!$F$6)),A50-1)</f>
        <v/>
      </c>
      <c r="F50" s="2">
        <f>--(A50&lt;=(65-Inputs!$D$10+1))</f>
        <v/>
      </c>
      <c r="G50" s="2">
        <f>--(A50&lt;=(65-Inputs!$F$10+1))</f>
        <v/>
      </c>
      <c r="H50" s="2">
        <f>B50*D50*F50</f>
        <v/>
      </c>
      <c r="I50" s="2">
        <f>C50*E50*G50</f>
        <v/>
      </c>
    </row>
    <row r="51">
      <c r="A51" s="2" t="n">
        <v>50</v>
      </c>
      <c r="B51" s="2">
        <f>Inputs!$D$7-(Inputs!$D$7-Inputs!$D$8)*POWER((A51-1)/47,Inputs!$D$9)</f>
        <v/>
      </c>
      <c r="C51" s="2">
        <f>Inputs!$F$7-(Inputs!$F$7-Inputs!$F$8)*POWER((A51-1)/47,Inputs!$F$9)</f>
        <v/>
      </c>
      <c r="D51" s="2">
        <f>POWER(((1+Inputs!$D$5)/(1+Inputs!$D$6)),A51-1)</f>
        <v/>
      </c>
      <c r="E51" s="2">
        <f>POWER(((1+Inputs!$F$5)/(1+Inputs!$F$6)),A51-1)</f>
        <v/>
      </c>
      <c r="F51" s="2">
        <f>--(A51&lt;=(65-Inputs!$D$10+1))</f>
        <v/>
      </c>
      <c r="G51" s="2">
        <f>--(A51&lt;=(65-Inputs!$F$10+1))</f>
        <v/>
      </c>
      <c r="H51" s="2">
        <f>B51*D51*F51</f>
        <v/>
      </c>
      <c r="I51" s="2">
        <f>C51*E51*G51</f>
        <v/>
      </c>
    </row>
    <row r="52">
      <c r="A52" s="2" t="n">
        <v>51</v>
      </c>
      <c r="B52" s="2">
        <f>Inputs!$D$7-(Inputs!$D$7-Inputs!$D$8)*POWER((A52-1)/47,Inputs!$D$9)</f>
        <v/>
      </c>
      <c r="C52" s="2">
        <f>Inputs!$F$7-(Inputs!$F$7-Inputs!$F$8)*POWER((A52-1)/47,Inputs!$F$9)</f>
        <v/>
      </c>
      <c r="D52" s="2">
        <f>POWER(((1+Inputs!$D$5)/(1+Inputs!$D$6)),A52-1)</f>
        <v/>
      </c>
      <c r="E52" s="2">
        <f>POWER(((1+Inputs!$F$5)/(1+Inputs!$F$6)),A52-1)</f>
        <v/>
      </c>
      <c r="F52" s="2">
        <f>--(A52&lt;=(65-Inputs!$D$10+1))</f>
        <v/>
      </c>
      <c r="G52" s="2">
        <f>--(A52&lt;=(65-Inputs!$F$10+1))</f>
        <v/>
      </c>
      <c r="H52" s="2">
        <f>B52*D52*F52</f>
        <v/>
      </c>
      <c r="I52" s="2">
        <f>C52*E52*G52</f>
        <v/>
      </c>
    </row>
    <row r="53">
      <c r="A53" s="2" t="n">
        <v>52</v>
      </c>
      <c r="B53" s="2">
        <f>Inputs!$D$7-(Inputs!$D$7-Inputs!$D$8)*POWER((A53-1)/47,Inputs!$D$9)</f>
        <v/>
      </c>
      <c r="C53" s="2">
        <f>Inputs!$F$7-(Inputs!$F$7-Inputs!$F$8)*POWER((A53-1)/47,Inputs!$F$9)</f>
        <v/>
      </c>
      <c r="D53" s="2">
        <f>POWER(((1+Inputs!$D$5)/(1+Inputs!$D$6)),A53-1)</f>
        <v/>
      </c>
      <c r="E53" s="2">
        <f>POWER(((1+Inputs!$F$5)/(1+Inputs!$F$6)),A53-1)</f>
        <v/>
      </c>
      <c r="F53" s="2">
        <f>--(A53&lt;=(65-Inputs!$D$10+1))</f>
        <v/>
      </c>
      <c r="G53" s="2">
        <f>--(A53&lt;=(65-Inputs!$F$10+1))</f>
        <v/>
      </c>
      <c r="H53" s="2">
        <f>B53*D53*F53</f>
        <v/>
      </c>
      <c r="I53" s="2">
        <f>C53*E53*G53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6" customWidth="1" min="1" max="1"/>
    <col width="16" customWidth="1" min="2" max="2"/>
    <col width="16" customWidth="1" min="3" max="3"/>
    <col width="60" customWidth="1" min="4" max="4"/>
  </cols>
  <sheetData>
    <row r="1">
      <c r="A1" s="13" t="inlineStr">
        <is>
          <t>Detailed deterministic calculations</t>
        </is>
      </c>
      <c r="B1" s="2" t="n"/>
      <c r="C1" s="2" t="n"/>
      <c r="D1" s="2" t="n"/>
    </row>
    <row r="2">
      <c r="A2" s="4" t="inlineStr">
        <is>
          <t>Default paper values</t>
        </is>
      </c>
      <c r="B2" s="14" t="inlineStr">
        <is>
          <t>Default</t>
        </is>
      </c>
      <c r="C2" s="15" t="inlineStr">
        <is>
          <t>Your local run</t>
        </is>
      </c>
      <c r="D2" s="4" t="inlineStr">
        <is>
          <t>Notes</t>
        </is>
      </c>
    </row>
    <row r="3">
      <c r="A3" s="2" t="inlineStr">
        <is>
          <t>productivity</t>
        </is>
      </c>
      <c r="B3" s="16">
        <f>Inputs!$D$3*Inputs!$D$4</f>
        <v/>
      </c>
      <c r="C3" s="16">
        <f>Inputs!$F$3*Inputs!$F$4</f>
        <v/>
      </c>
      <c r="D3" s="2" t="inlineStr">
        <is>
          <t>GDP PPP per capita x labour share of national income</t>
        </is>
      </c>
    </row>
    <row r="4">
      <c r="A4" s="2" t="inlineStr">
        <is>
          <t>x_growth_discount</t>
        </is>
      </c>
      <c r="B4" s="16">
        <f>((1+Inputs!$D$5)/(1+Inputs!$D$6))</f>
        <v/>
      </c>
      <c r="C4" s="16">
        <f>((1+Inputs!$F$5)/(1+Inputs!$F$6))</f>
        <v/>
      </c>
      <c r="D4" s="2" t="inlineStr">
        <is>
          <t>(1+growth)/(1+discount)</t>
        </is>
      </c>
    </row>
    <row r="5">
      <c r="A5" s="2" t="inlineStr">
        <is>
          <t>pv_earnings</t>
        </is>
      </c>
      <c r="B5" s="16">
        <f>B3*POWER(B4,Inputs!$D$10)*SUM(PV_Helper!H2:H53)</f>
        <v/>
      </c>
      <c r="C5" s="16">
        <f>C3*POWER(C4,Inputs!$F$10)*SUM(PV_Helper!I2:I53)</f>
        <v/>
      </c>
      <c r="D5" s="2" t="n"/>
    </row>
    <row r="6">
      <c r="A6" s="2" t="inlineStr">
        <is>
          <t>fixed_cost_per_birth</t>
        </is>
      </c>
      <c r="B6" s="16">
        <f>Inputs!$D$24/Inputs!$D$25</f>
        <v/>
      </c>
      <c r="C6" s="16">
        <f>Inputs!$F$24/Inputs!$F$25</f>
        <v/>
      </c>
      <c r="D6" s="2" t="n"/>
    </row>
    <row r="7">
      <c r="A7" s="2" t="inlineStr">
        <is>
          <t>vsly</t>
        </is>
      </c>
      <c r="B7" s="16">
        <f>Inputs!$D$66*B3</f>
        <v/>
      </c>
      <c r="C7" s="16">
        <f>Inputs!$F$66*C3</f>
        <v/>
      </c>
      <c r="D7" s="2" t="n"/>
    </row>
    <row r="8">
      <c r="A8" s="2" t="inlineStr">
        <is>
          <t>share_years2to5</t>
        </is>
      </c>
      <c r="B8" s="16">
        <f>1-Inputs!$D$55-Inputs!$D$56</f>
        <v/>
      </c>
      <c r="C8" s="16">
        <f>1-Inputs!$F$55-Inputs!$F$56</f>
        <v/>
      </c>
      <c r="D8" s="2" t="n"/>
    </row>
    <row r="9">
      <c r="A9" s="2" t="inlineStr">
        <is>
          <t>post_weight_pot</t>
        </is>
      </c>
      <c r="B9" s="16">
        <f>Inputs!$D$56*MIN(Inputs!$D$69,0.5)+B8*(MIN(MAX(Inputs!$D$69-0.5,0),4)/4)</f>
        <v/>
      </c>
      <c r="C9" s="16">
        <f>Inputs!$F$56*MIN(Inputs!$F$69,0.5)+C8*(MIN(MAX(Inputs!$F$69-0.5,0),4)/4)</f>
        <v/>
      </c>
      <c r="D9" s="2" t="n"/>
    </row>
    <row r="10">
      <c r="A10" s="2" t="inlineStr">
        <is>
          <t>post_weight_utensils</t>
        </is>
      </c>
      <c r="B10" s="16">
        <f>Inputs!$D$56*MIN(Inputs!$D$72,0.5)+B8*(MIN(MAX(Inputs!$D$72-0.5,0),4)/4)</f>
        <v/>
      </c>
      <c r="C10" s="16">
        <f>Inputs!$F$56*MIN(Inputs!$F$72,0.5)+C8*(MIN(MAX(Inputs!$F$72-0.5,0),4)/4)</f>
        <v/>
      </c>
      <c r="D10" s="2" t="n"/>
    </row>
    <row r="11">
      <c r="A11" s="2" t="inlineStr">
        <is>
          <t>post_weight_kohl_infant</t>
        </is>
      </c>
      <c r="B11" s="16">
        <f>Inputs!$D$56*MIN(Inputs!$D$71,1)+B8*(MIN(MAX(Inputs!$D$71-1,0),4)/4)</f>
        <v/>
      </c>
      <c r="C11" s="16">
        <f>Inputs!$F$56*MIN(Inputs!$F$71,1)+C8*(MIN(MAX(Inputs!$F$71-1,0),4)/4)</f>
        <v/>
      </c>
      <c r="D11" s="2" t="n"/>
    </row>
    <row r="12">
      <c r="A12" s="2" t="inlineStr"/>
      <c r="B12" s="16" t="n"/>
      <c r="C12" s="16" t="n"/>
      <c r="D12" s="2" t="n"/>
    </row>
    <row r="13">
      <c r="A13" s="3" t="inlineStr">
        <is>
          <t>Kitchen package</t>
        </is>
      </c>
      <c r="B13" s="16" t="n"/>
      <c r="C13" s="16" t="n"/>
      <c r="D13" s="2" t="inlineStr">
        <is>
          <t>Default and local deterministic runs</t>
        </is>
      </c>
    </row>
    <row r="14">
      <c r="A14" s="2" t="inlineStr">
        <is>
          <t>k_p_success_pot</t>
        </is>
      </c>
      <c r="B14" s="16">
        <f>Inputs!$D$27*Inputs!$D$32*Inputs!$D$38*Inputs!$D$39*Inputs!$D$40*Inputs!$D$41</f>
        <v/>
      </c>
      <c r="C14" s="16">
        <f>Inputs!$F$27*Inputs!$F$32*Inputs!$F$38*Inputs!$F$39*Inputs!$F$40*Inputs!$F$41</f>
        <v/>
      </c>
      <c r="D14" s="2" t="n"/>
    </row>
    <row r="15">
      <c r="A15" s="2" t="inlineStr">
        <is>
          <t>k_p_success_pot_after_residual</t>
        </is>
      </c>
      <c r="B15" s="16">
        <f>B14*(1-Inputs!$D$42)</f>
        <v/>
      </c>
      <c r="C15" s="16">
        <f>C14*(1-Inputs!$F$42)</f>
        <v/>
      </c>
      <c r="D15" s="2" t="n"/>
    </row>
    <row r="16">
      <c r="A16" s="2" t="inlineStr">
        <is>
          <t>k_p_success_calcium</t>
        </is>
      </c>
      <c r="B16" s="16">
        <f>Inputs!$D$32*Inputs!$D$36*Inputs!$D$37</f>
        <v/>
      </c>
      <c r="C16" s="16">
        <f>Inputs!$F$32*Inputs!$F$36*Inputs!$F$37</f>
        <v/>
      </c>
      <c r="D16" s="2" t="n"/>
    </row>
    <row r="17">
      <c r="A17" s="2" t="inlineStr">
        <is>
          <t>k_p_success_utensils</t>
        </is>
      </c>
      <c r="B17" s="16">
        <f>Inputs!$D$30*Inputs!$D$33*Inputs!$D$36*Inputs!$D$37</f>
        <v/>
      </c>
      <c r="C17" s="16">
        <f>Inputs!$F$30*Inputs!$F$33*Inputs!$F$36*Inputs!$F$37</f>
        <v/>
      </c>
      <c r="D17" s="2" t="n"/>
    </row>
    <row r="18">
      <c r="A18" s="2" t="inlineStr">
        <is>
          <t>k_eff_bll_pot_child</t>
        </is>
      </c>
      <c r="B18" s="16">
        <f>Inputs!$D$44*B15</f>
        <v/>
      </c>
      <c r="C18" s="16">
        <f>Inputs!$F$44*C15</f>
        <v/>
      </c>
      <c r="D18" s="2" t="n"/>
    </row>
    <row r="19">
      <c r="A19" s="2" t="inlineStr">
        <is>
          <t>k_eff_bll_pot_mother</t>
        </is>
      </c>
      <c r="B19" s="16">
        <f>Inputs!$D$45*B15</f>
        <v/>
      </c>
      <c r="C19" s="16">
        <f>Inputs!$F$45*C15</f>
        <v/>
      </c>
      <c r="D19" s="2" t="n"/>
    </row>
    <row r="20">
      <c r="A20" s="2" t="inlineStr">
        <is>
          <t>k_eff_bll_calcium_mother</t>
        </is>
      </c>
      <c r="B20" s="16">
        <f>Inputs!$D$47*B16</f>
        <v/>
      </c>
      <c r="C20" s="16">
        <f>Inputs!$F$47*C16</f>
        <v/>
      </c>
      <c r="D20" s="2" t="n"/>
    </row>
    <row r="21">
      <c r="A21" s="2" t="inlineStr">
        <is>
          <t>k_eff_bll_utensils_child</t>
        </is>
      </c>
      <c r="B21" s="16">
        <f>Inputs!$D$46*B17</f>
        <v/>
      </c>
      <c r="C21" s="16">
        <f>Inputs!$F$46*C17</f>
        <v/>
      </c>
      <c r="D21" s="2" t="n"/>
    </row>
    <row r="22">
      <c r="A22" s="2" t="inlineStr">
        <is>
          <t>k_eff_bll_prenatal_child</t>
        </is>
      </c>
      <c r="B22" s="16">
        <f>Inputs!$D$53*(B19+B20)</f>
        <v/>
      </c>
      <c r="C22" s="16">
        <f>Inputs!$F$53*(C19+C20)</f>
        <v/>
      </c>
      <c r="D22" s="2" t="n"/>
    </row>
    <row r="23">
      <c r="A23" s="2" t="inlineStr">
        <is>
          <t>k_eff_bll_lactational_child</t>
        </is>
      </c>
      <c r="B23" s="16">
        <f>Inputs!$D$54*B19</f>
        <v/>
      </c>
      <c r="C23" s="16">
        <f>Inputs!$F$54*C19</f>
        <v/>
      </c>
      <c r="D23" s="2" t="n"/>
    </row>
    <row r="24">
      <c r="A24" s="2" t="inlineStr">
        <is>
          <t>k_eff_bll_child_total</t>
        </is>
      </c>
      <c r="B24" s="16">
        <f>B18+B21+B22+B23</f>
        <v/>
      </c>
      <c r="C24" s="16">
        <f>C18+C21+C22+C23</f>
        <v/>
      </c>
      <c r="D24" s="2" t="n"/>
    </row>
    <row r="25">
      <c r="A25" s="2" t="inlineStr">
        <is>
          <t>k_eff_bll_child_cog_equiv</t>
        </is>
      </c>
      <c r="B25" s="16">
        <f>B22*Inputs!$D$55+B23*Inputs!$D$56*MIN(Inputs!$D$69,1)+B18*B9+B21*B10</f>
        <v/>
      </c>
      <c r="C25" s="16">
        <f>C22*Inputs!$F$55+C23*Inputs!$F$56*MIN(Inputs!$F$69,1)+C18*C9+C21*C10</f>
        <v/>
      </c>
      <c r="D25" s="2" t="n"/>
    </row>
    <row r="26">
      <c r="A26" s="2" t="inlineStr">
        <is>
          <t>k_delta_iq</t>
        </is>
      </c>
      <c r="B26" s="16">
        <f>B25*Inputs!$D$51</f>
        <v/>
      </c>
      <c r="C26" s="16">
        <f>C25*Inputs!$F$51</f>
        <v/>
      </c>
      <c r="D26" s="2" t="n"/>
    </row>
    <row r="27">
      <c r="A27" s="2" t="inlineStr">
        <is>
          <t>k_benefit_earnings</t>
        </is>
      </c>
      <c r="B27" s="16">
        <f>B5*Inputs!$D$52*B26</f>
        <v/>
      </c>
      <c r="C27" s="16">
        <f>C5*Inputs!$F$52*C26</f>
        <v/>
      </c>
      <c r="D27" s="2" t="n"/>
    </row>
    <row r="28">
      <c r="A28" s="2" t="inlineStr">
        <is>
          <t>k_preeclampsia_delta</t>
        </is>
      </c>
      <c r="B28" s="16">
        <f>Inputs!$D$58-((Inputs!$D$58/(1-Inputs!$D$58))/POWER(Inputs!$D$59,(B19+B20)*Inputs!$D$62))/(1+((Inputs!$D$58/(1-Inputs!$D$58))/POWER(Inputs!$D$59,(B19+B20)*Inputs!$D$62)))</f>
        <v/>
      </c>
      <c r="C28" s="16">
        <f>Inputs!$F$58-((Inputs!$F$58/(1-Inputs!$F$58))/POWER(Inputs!$F$59,(C19+C20)*Inputs!$F$62))/(1+((Inputs!$F$58/(1-Inputs!$F$58))/POWER(Inputs!$F$59,(C19+C20)*Inputs!$F$62)))</f>
        <v/>
      </c>
      <c r="D28" s="2" t="n"/>
    </row>
    <row r="29">
      <c r="A29" s="2" t="inlineStr">
        <is>
          <t>k_preterm_delta</t>
        </is>
      </c>
      <c r="B29" s="16">
        <f>Inputs!$D$60-((Inputs!$D$60/(1-Inputs!$D$60))/POWER(Inputs!$D$61,(B19+B20)*Inputs!$D$63))/(1+((Inputs!$D$60/(1-Inputs!$D$60))/POWER(Inputs!$D$61,(B19+B20)*Inputs!$D$63)))</f>
        <v/>
      </c>
      <c r="C29" s="16">
        <f>Inputs!$F$60-((Inputs!$F$60/(1-Inputs!$F$60))/POWER(Inputs!$F$61,(C19+C20)*Inputs!$F$63))/(1+((Inputs!$F$60/(1-Inputs!$F$60))/POWER(Inputs!$F$61,(C19+C20)*Inputs!$F$63)))</f>
        <v/>
      </c>
      <c r="D29" s="2" t="n"/>
    </row>
    <row r="30">
      <c r="A30" s="2" t="inlineStr">
        <is>
          <t>k_benefit_maternal_neonatal</t>
        </is>
      </c>
      <c r="B30" s="16">
        <f>B28*Inputs!$D$67*B7+B29*Inputs!$D$64*B7</f>
        <v/>
      </c>
      <c r="C30" s="16">
        <f>C28*Inputs!$F$67*C7+C29*Inputs!$F$64*C7</f>
        <v/>
      </c>
      <c r="D30" s="2" t="n"/>
    </row>
    <row r="31">
      <c r="A31" s="2" t="inlineStr">
        <is>
          <t>k_benefit_cvd</t>
        </is>
      </c>
      <c r="B31" s="16">
        <f>((B19*Inputs!$D$69+B20*Inputs!$D$73)*Inputs!$D$65*B7*POWER(1+Inputs!$D$6,-MAX(0,Inputs!$D$74-Inputs!$D$11)))+(B18*Inputs!$D$65*Inputs!$D$69*B7*Inputs!$D$75*POWER(1+Inputs!$D$6,-MAX(0,Inputs!$D$74-Inputs!$D$12))*Inputs!$D$13)</f>
        <v/>
      </c>
      <c r="C31" s="16">
        <f>((C19*Inputs!$F$69+C20*Inputs!$F$73)*Inputs!$F$65*C7*POWER(1+Inputs!$F$6,-MAX(0,Inputs!$F$74-Inputs!$F$11)))+(C18*Inputs!$F$65*Inputs!$F$69*C7*Inputs!$F$75*POWER(1+Inputs!$F$6,-MAX(0,Inputs!$F$74-Inputs!$F$12))*Inputs!$F$13)</f>
        <v/>
      </c>
      <c r="D31" s="2" t="n"/>
    </row>
    <row r="32">
      <c r="A32" s="2" t="inlineStr">
        <is>
          <t>k_cost</t>
        </is>
      </c>
      <c r="B32" s="16">
        <f>B6+Inputs!$D$20*Inputs!$D$32+(Inputs!$D$15+Inputs!$D$21)*(1+Inputs!$D$23)*Inputs!$D$32*Inputs!$D$38*Inputs!$D$39*Inputs!$D$40+Inputs!$D$20*Inputs!$D$32+Inputs!$D$22*(1+Inputs!$D$23)*Inputs!$D$32*Inputs!$D$36+Inputs!$D$17*(1+Inputs!$D$23)*Inputs!$D$32*Inputs!$D$36+Inputs!$D$20*Inputs!$D$33+Inputs!$D$22*(1+Inputs!$D$23)*Inputs!$D$33*Inputs!$D$36+Inputs!$D$16*(1+Inputs!$D$23)*Inputs!$D$33*Inputs!$D$36</f>
        <v/>
      </c>
      <c r="C32" s="16">
        <f>C6+Inputs!$F$20*Inputs!$F$32+(Inputs!$F$15+Inputs!$F$21)*(1+Inputs!$F$23)*Inputs!$F$32*Inputs!$F$38*Inputs!$F$39*Inputs!$F$40+Inputs!$F$20*Inputs!$F$32+Inputs!$F$22*(1+Inputs!$F$23)*Inputs!$F$32*Inputs!$F$36+Inputs!$F$17*(1+Inputs!$F$23)*Inputs!$F$32*Inputs!$F$36+Inputs!$F$20*Inputs!$F$33+Inputs!$F$22*(1+Inputs!$F$23)*Inputs!$F$33*Inputs!$F$36+Inputs!$F$16*(1+Inputs!$F$23)*Inputs!$F$33*Inputs!$F$36</f>
        <v/>
      </c>
      <c r="D32" s="2" t="n"/>
    </row>
    <row r="33">
      <c r="A33" s="2" t="inlineStr">
        <is>
          <t>k_bcr_cog</t>
        </is>
      </c>
      <c r="B33" s="16">
        <f>B27/B32</f>
        <v/>
      </c>
      <c r="C33" s="16">
        <f>C27/C32</f>
        <v/>
      </c>
      <c r="D33" s="2" t="n"/>
    </row>
    <row r="34">
      <c r="A34" s="2" t="inlineStr">
        <is>
          <t>k_bcr_plus_mn</t>
        </is>
      </c>
      <c r="B34" s="16">
        <f>(B27+B30)/B32</f>
        <v/>
      </c>
      <c r="C34" s="16">
        <f>(C27+C30)/C32</f>
        <v/>
      </c>
      <c r="D34" s="2" t="n"/>
    </row>
    <row r="35">
      <c r="A35" s="2" t="inlineStr">
        <is>
          <t>k_bcr_total</t>
        </is>
      </c>
      <c r="B35" s="16">
        <f>(B27+B30+B31)/B32</f>
        <v/>
      </c>
      <c r="C35" s="16">
        <f>(C27+C30+C31)/C32</f>
        <v/>
      </c>
      <c r="D35" s="2" t="n"/>
    </row>
    <row r="36">
      <c r="A36" s="2" t="inlineStr"/>
      <c r="B36" s="16" t="n"/>
      <c r="C36" s="16" t="n"/>
      <c r="D36" s="2" t="n"/>
    </row>
    <row r="37">
      <c r="A37" s="3" t="inlineStr">
        <is>
          <t>Kohl package</t>
        </is>
      </c>
      <c r="B37" s="16" t="n"/>
      <c r="C37" s="16" t="n"/>
      <c r="D37" s="2" t="inlineStr">
        <is>
          <t>Default and local deterministic runs</t>
        </is>
      </c>
    </row>
    <row r="38">
      <c r="A38" s="2" t="inlineStr">
        <is>
          <t>ko_p_success_maternal</t>
        </is>
      </c>
      <c r="B38" s="16">
        <f>Inputs!$D$28*Inputs!$D$32*Inputs!$D$36*Inputs!$D$37</f>
        <v/>
      </c>
      <c r="C38" s="16">
        <f>Inputs!$F$28*Inputs!$F$32*Inputs!$F$36*Inputs!$F$37</f>
        <v/>
      </c>
      <c r="D38" s="2" t="n"/>
    </row>
    <row r="39">
      <c r="A39" s="2" t="inlineStr">
        <is>
          <t>ko_p_success_infant</t>
        </is>
      </c>
      <c r="B39" s="16">
        <f>Inputs!$D$29*Inputs!$D$35*Inputs!$D$36*Inputs!$D$37</f>
        <v/>
      </c>
      <c r="C39" s="16">
        <f>Inputs!$F$29*Inputs!$F$35*Inputs!$F$36*Inputs!$F$37</f>
        <v/>
      </c>
      <c r="D39" s="2" t="n"/>
    </row>
    <row r="40">
      <c r="A40" s="2" t="inlineStr">
        <is>
          <t>ko_eff_bll_mother</t>
        </is>
      </c>
      <c r="B40" s="16">
        <f>Inputs!$D$48*B38</f>
        <v/>
      </c>
      <c r="C40" s="16">
        <f>Inputs!$F$48*C38</f>
        <v/>
      </c>
      <c r="D40" s="2" t="n"/>
    </row>
    <row r="41">
      <c r="A41" s="2" t="inlineStr">
        <is>
          <t>ko_eff_bll_infant</t>
        </is>
      </c>
      <c r="B41" s="16">
        <f>Inputs!$D$49*B39</f>
        <v/>
      </c>
      <c r="C41" s="16">
        <f>Inputs!$F$49*C39</f>
        <v/>
      </c>
      <c r="D41" s="2" t="n"/>
    </row>
    <row r="42">
      <c r="A42" s="2" t="inlineStr">
        <is>
          <t>ko_eff_bll_prenatal_child</t>
        </is>
      </c>
      <c r="B42" s="16">
        <f>Inputs!$D$53*B40</f>
        <v/>
      </c>
      <c r="C42" s="16">
        <f>Inputs!$F$53*C40</f>
        <v/>
      </c>
      <c r="D42" s="2" t="n"/>
    </row>
    <row r="43">
      <c r="A43" s="2" t="inlineStr">
        <is>
          <t>ko_eff_bll_lactational_child</t>
        </is>
      </c>
      <c r="B43" s="16">
        <f>Inputs!$D$54*B40</f>
        <v/>
      </c>
      <c r="C43" s="16">
        <f>Inputs!$F$54*C40</f>
        <v/>
      </c>
      <c r="D43" s="2" t="n"/>
    </row>
    <row r="44">
      <c r="A44" s="2" t="inlineStr">
        <is>
          <t>ko_eff_bll_child_total</t>
        </is>
      </c>
      <c r="B44" s="16">
        <f>B42+B43+B41</f>
        <v/>
      </c>
      <c r="C44" s="16">
        <f>C42+C43+C41</f>
        <v/>
      </c>
      <c r="D44" s="2" t="n"/>
    </row>
    <row r="45">
      <c r="A45" s="2" t="inlineStr">
        <is>
          <t>ko_eff_bll_child_cog_equiv</t>
        </is>
      </c>
      <c r="B45" s="16">
        <f>B42*Inputs!$D$55+B43*Inputs!$D$56*MIN(Inputs!$D$70,1)+B41*B11</f>
        <v/>
      </c>
      <c r="C45" s="16">
        <f>C42*Inputs!$F$55+C43*Inputs!$F$56*MIN(Inputs!$F$70,1)+C41*C11</f>
        <v/>
      </c>
      <c r="D45" s="2" t="n"/>
    </row>
    <row r="46">
      <c r="A46" s="2" t="inlineStr">
        <is>
          <t>ko_delta_iq</t>
        </is>
      </c>
      <c r="B46" s="16">
        <f>B45*Inputs!$D$51</f>
        <v/>
      </c>
      <c r="C46" s="16">
        <f>C45*Inputs!$F$51</f>
        <v/>
      </c>
      <c r="D46" s="2" t="n"/>
    </row>
    <row r="47">
      <c r="A47" s="2" t="inlineStr">
        <is>
          <t>ko_benefit_earnings</t>
        </is>
      </c>
      <c r="B47" s="16">
        <f>B5*Inputs!$D$52*B46</f>
        <v/>
      </c>
      <c r="C47" s="16">
        <f>C5*Inputs!$F$52*C46</f>
        <v/>
      </c>
      <c r="D47" s="2" t="n"/>
    </row>
    <row r="48">
      <c r="A48" s="2" t="inlineStr">
        <is>
          <t>ko_preeclampsia_delta</t>
        </is>
      </c>
      <c r="B48" s="16">
        <f>Inputs!$D$58-((Inputs!$D$58/(1-Inputs!$D$58))/POWER(Inputs!$D$59,B40*Inputs!$D$62))/(1+((Inputs!$D$58/(1-Inputs!$D$58))/POWER(Inputs!$D$59,B40*Inputs!$D$62)))</f>
        <v/>
      </c>
      <c r="C48" s="16">
        <f>Inputs!$F$58-((Inputs!$F$58/(1-Inputs!$F$58))/POWER(Inputs!$F$59,C40*Inputs!$F$62))/(1+((Inputs!$F$58/(1-Inputs!$F$58))/POWER(Inputs!$F$59,C40*Inputs!$F$62)))</f>
        <v/>
      </c>
      <c r="D48" s="2" t="n"/>
    </row>
    <row r="49">
      <c r="A49" s="2" t="inlineStr">
        <is>
          <t>ko_preterm_delta</t>
        </is>
      </c>
      <c r="B49" s="16">
        <f>Inputs!$D$60-((Inputs!$D$60/(1-Inputs!$D$60))/POWER(Inputs!$D$61,B40*Inputs!$D$63))/(1+((Inputs!$D$60/(1-Inputs!$D$60))/POWER(Inputs!$D$61,B40*Inputs!$D$63)))</f>
        <v/>
      </c>
      <c r="C49" s="16">
        <f>Inputs!$F$60-((Inputs!$F$60/(1-Inputs!$F$60))/POWER(Inputs!$F$61,C40*Inputs!$F$63))/(1+((Inputs!$F$60/(1-Inputs!$F$60))/POWER(Inputs!$F$61,C40*Inputs!$F$63)))</f>
        <v/>
      </c>
      <c r="D49" s="2" t="n"/>
    </row>
    <row r="50">
      <c r="A50" s="2" t="inlineStr">
        <is>
          <t>ko_benefit_maternal_neonatal</t>
        </is>
      </c>
      <c r="B50" s="16">
        <f>B48*Inputs!$D$67*B7+B49*Inputs!$D$64*B7</f>
        <v/>
      </c>
      <c r="C50" s="16">
        <f>C48*Inputs!$F$67*C7+C49*Inputs!$F$64*C7</f>
        <v/>
      </c>
      <c r="D50" s="2" t="n"/>
    </row>
    <row r="51">
      <c r="A51" s="2" t="inlineStr">
        <is>
          <t>ko_benefit_cvd</t>
        </is>
      </c>
      <c r="B51" s="16">
        <f>B40*Inputs!$D$65*Inputs!$D$70*B7*POWER(1+Inputs!$D$6,-MAX(0,Inputs!$D$74-Inputs!$D$11))</f>
        <v/>
      </c>
      <c r="C51" s="16">
        <f>C40*Inputs!$F$65*Inputs!$F$70*C7*POWER(1+Inputs!$F$6,-MAX(0,Inputs!$F$74-Inputs!$F$11))</f>
        <v/>
      </c>
      <c r="D51" s="2" t="n"/>
    </row>
    <row r="52">
      <c r="A52" s="2" t="inlineStr">
        <is>
          <t>ko_cost</t>
        </is>
      </c>
      <c r="B52" s="16">
        <f>B6+Inputs!$D$20*Inputs!$D$32+Inputs!$D$22*(1+Inputs!$D$23)*Inputs!$D$32*Inputs!$D$36+Inputs!$D$18*Inputs!$D$70*(1+Inputs!$D$23)*Inputs!$D$32*Inputs!$D$36+Inputs!$D$20*Inputs!$D$35+Inputs!$D$22*(1+Inputs!$D$23)*Inputs!$D$35*Inputs!$D$36+Inputs!$D$19*(1+Inputs!$D$23)*Inputs!$D$35*Inputs!$D$36</f>
        <v/>
      </c>
      <c r="C52" s="16">
        <f>C6+Inputs!$F$20*Inputs!$F$32+Inputs!$F$22*(1+Inputs!$F$23)*Inputs!$F$32*Inputs!$F$36+Inputs!$F$18*Inputs!$F$70*(1+Inputs!$F$23)*Inputs!$F$32*Inputs!$F$36+Inputs!$F$20*Inputs!$F$35+Inputs!$F$22*(1+Inputs!$F$23)*Inputs!$F$35*Inputs!$F$36+Inputs!$F$19*(1+Inputs!$F$23)*Inputs!$F$35*Inputs!$F$36</f>
        <v/>
      </c>
      <c r="D52" s="2" t="n"/>
    </row>
    <row r="53">
      <c r="A53" s="2" t="inlineStr">
        <is>
          <t>ko_bcr_cog</t>
        </is>
      </c>
      <c r="B53" s="16">
        <f>B47/B52</f>
        <v/>
      </c>
      <c r="C53" s="16">
        <f>C47/C52</f>
        <v/>
      </c>
      <c r="D53" s="2" t="n"/>
    </row>
    <row r="54">
      <c r="A54" s="2" t="inlineStr">
        <is>
          <t>ko_bcr_plus_mn</t>
        </is>
      </c>
      <c r="B54" s="16">
        <f>(B47+B50)/B52</f>
        <v/>
      </c>
      <c r="C54" s="16">
        <f>(C47+C50)/C52</f>
        <v/>
      </c>
      <c r="D54" s="2" t="n"/>
    </row>
    <row r="55">
      <c r="A55" s="2" t="inlineStr">
        <is>
          <t>ko_bcr_total</t>
        </is>
      </c>
      <c r="B55" s="16">
        <f>(B47+B50+B51)/B52</f>
        <v/>
      </c>
      <c r="C55" s="16">
        <f>(C47+C50+C51)/C52</f>
        <v/>
      </c>
      <c r="D55"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78" customWidth="1" min="1" max="1"/>
    <col width="14" customWidth="1" min="2" max="2"/>
    <col width="20" customWidth="1" min="3" max="3"/>
    <col width="20" customWidth="1" min="4" max="4"/>
    <col width="20" customWidth="1" min="5" max="5"/>
    <col width="20" customWidth="1" min="6" max="6"/>
  </cols>
  <sheetData>
    <row r="1">
      <c r="A1" s="4" t="inlineStr">
        <is>
          <t>Output</t>
        </is>
      </c>
      <c r="B1" s="4" t="inlineStr">
        <is>
          <t>Units</t>
        </is>
      </c>
      <c r="C1" s="4" t="inlineStr">
        <is>
          <t>Paper default: Kitchen</t>
        </is>
      </c>
      <c r="D1" s="4" t="inlineStr">
        <is>
          <t>Your local run: Kitchen</t>
        </is>
      </c>
      <c r="E1" s="4" t="inlineStr">
        <is>
          <t>Paper default: Kohl</t>
        </is>
      </c>
      <c r="F1" s="4" t="inlineStr">
        <is>
          <t>Your local run: Kohl</t>
        </is>
      </c>
    </row>
    <row r="2">
      <c r="A2" s="2" t="inlineStr">
        <is>
          <t>Cost per mother-child pair</t>
        </is>
      </c>
      <c r="B2" s="2" t="inlineStr">
        <is>
          <t>US$</t>
        </is>
      </c>
      <c r="C2" s="2">
        <f>Results!$B$32</f>
        <v/>
      </c>
      <c r="D2" s="2">
        <f>Results!$C$32</f>
        <v/>
      </c>
      <c r="E2" s="2">
        <f>Results!$B$52</f>
        <v/>
      </c>
      <c r="F2" s="2">
        <f>Results!$C$52</f>
        <v/>
      </c>
    </row>
    <row r="3">
      <c r="A3" s="2" t="inlineStr">
        <is>
          <t>Present value of lifetime earnings gain per child</t>
        </is>
      </c>
      <c r="B3" s="2" t="inlineStr">
        <is>
          <t>US$</t>
        </is>
      </c>
      <c r="C3" s="16">
        <f>Results!$B$27</f>
        <v/>
      </c>
      <c r="D3" s="16">
        <f>Results!$C$27</f>
        <v/>
      </c>
      <c r="E3" s="16">
        <f>Results!$B$47</f>
        <v/>
      </c>
      <c r="F3" s="16">
        <f>Results!$C$47</f>
        <v/>
      </c>
    </row>
    <row r="4">
      <c r="A4" s="2" t="inlineStr">
        <is>
          <t>Benefit-cost ratio, cognition channel only</t>
        </is>
      </c>
      <c r="B4" s="2" t="inlineStr">
        <is>
          <t>Ratio</t>
        </is>
      </c>
      <c r="C4" s="16">
        <f>Results!$B$33</f>
        <v/>
      </c>
      <c r="D4" s="16">
        <f>Results!$C$33</f>
        <v/>
      </c>
      <c r="E4" s="16">
        <f>Results!$B$53</f>
        <v/>
      </c>
      <c r="F4" s="16">
        <f>Results!$C$53</f>
        <v/>
      </c>
    </row>
    <row r="5">
      <c r="A5" s="2" t="inlineStr">
        <is>
          <t>Benefit-cost ratio, cognition, maternal health, and neonatal health channels</t>
        </is>
      </c>
      <c r="B5" s="2" t="inlineStr">
        <is>
          <t>Ratio</t>
        </is>
      </c>
      <c r="C5" s="16">
        <f>Results!$B$34</f>
        <v/>
      </c>
      <c r="D5" s="16">
        <f>Results!$C$34</f>
        <v/>
      </c>
      <c r="E5" s="16">
        <f>Results!$B$54</f>
        <v/>
      </c>
      <c r="F5" s="16">
        <f>Results!$C$54</f>
        <v/>
      </c>
    </row>
    <row r="6">
      <c r="A6" s="2" t="inlineStr">
        <is>
          <t>Benefit-cost ratio, cognition, maternal health, neonatal health, and cardiovascular illness channels</t>
        </is>
      </c>
      <c r="B6" s="2" t="inlineStr">
        <is>
          <t>Ratio</t>
        </is>
      </c>
      <c r="C6" s="16">
        <f>Results!$B$35</f>
        <v/>
      </c>
      <c r="D6" s="16">
        <f>Results!$C$35</f>
        <v/>
      </c>
      <c r="E6" s="16">
        <f>Results!$B$55</f>
        <v/>
      </c>
      <c r="F6" s="16">
        <f>Results!$C$55</f>
        <v/>
      </c>
    </row>
    <row r="7">
      <c r="A7" s="2" t="inlineStr">
        <is>
          <t>Child BLL reduction during intervention period</t>
        </is>
      </c>
      <c r="B7" s="2" t="inlineStr">
        <is>
          <t>ug/dL</t>
        </is>
      </c>
      <c r="C7" s="16">
        <f>Results!$B$24</f>
        <v/>
      </c>
      <c r="D7" s="16">
        <f>Results!$C$24</f>
        <v/>
      </c>
      <c r="E7" s="16">
        <f>Results!$B$44</f>
        <v/>
      </c>
      <c r="F7" s="16">
        <f>Results!$C$44</f>
        <v/>
      </c>
    </row>
    <row r="8">
      <c r="A8" s="2" t="inlineStr">
        <is>
          <t>Developmentally weighted child blood lead reduction used for cognition calculation</t>
        </is>
      </c>
      <c r="B8" s="2" t="inlineStr">
        <is>
          <t>ug/dL</t>
        </is>
      </c>
      <c r="C8" s="16">
        <f>Results!$B$25</f>
        <v/>
      </c>
      <c r="D8" s="16">
        <f>Results!$C$25</f>
        <v/>
      </c>
      <c r="E8" s="16">
        <f>Results!$B$45</f>
        <v/>
      </c>
      <c r="F8" s="16">
        <f>Results!$C$45</f>
        <v/>
      </c>
    </row>
    <row r="9">
      <c r="A9" s="2" t="inlineStr">
        <is>
          <t>Child IQ gain</t>
        </is>
      </c>
      <c r="B9" s="2" t="inlineStr">
        <is>
          <t>IQ points</t>
        </is>
      </c>
      <c r="C9" s="16">
        <f>Results!$B$26</f>
        <v/>
      </c>
      <c r="D9" s="16">
        <f>Results!$C$26</f>
        <v/>
      </c>
      <c r="E9" s="16">
        <f>Results!$B$46</f>
        <v/>
      </c>
      <c r="F9" s="16">
        <f>Results!$C$46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2026-05-05T17:37:10Z</dcterms:created>
  <dcterms:modified xsi:type="dcterms:W3CDTF">2026-05-05T17:37:10Z</dcterms:modified>
</cp:coreProperties>
</file>